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0" yWindow="180" windowWidth="20115" windowHeight="8520" activeTab="3"/>
  </bookViews>
  <sheets>
    <sheet name="Manzana 1" sheetId="2" r:id="rId1"/>
    <sheet name="Manzana 2" sheetId="1" r:id="rId2"/>
    <sheet name="Manzana 3" sheetId="3" r:id="rId3"/>
    <sheet name="Manzana 4" sheetId="4" r:id="rId4"/>
    <sheet name="Manzana 5" sheetId="5" r:id="rId5"/>
    <sheet name="Manzana 6" sheetId="6" r:id="rId6"/>
    <sheet name="GRAFICO" sheetId="8" r:id="rId7"/>
  </sheets>
  <calcPr calcId="125725"/>
</workbook>
</file>

<file path=xl/calcChain.xml><?xml version="1.0" encoding="utf-8"?>
<calcChain xmlns="http://schemas.openxmlformats.org/spreadsheetml/2006/main">
  <c r="L7" i="8"/>
  <c r="J7"/>
  <c r="H7"/>
  <c r="F7"/>
  <c r="D7"/>
  <c r="B7"/>
  <c r="E36" i="6"/>
  <c r="E41" i="5"/>
  <c r="E42" i="4"/>
  <c r="E61" i="3"/>
  <c r="E28" i="2"/>
  <c r="E28" i="1"/>
</calcChain>
</file>

<file path=xl/sharedStrings.xml><?xml version="1.0" encoding="utf-8"?>
<sst xmlns="http://schemas.openxmlformats.org/spreadsheetml/2006/main" count="1055" uniqueCount="595">
  <si>
    <t>TITULAR</t>
  </si>
  <si>
    <t>COTITULAR</t>
  </si>
  <si>
    <t>LOTE</t>
  </si>
  <si>
    <t>DIRECCION</t>
  </si>
  <si>
    <t>ESTADO</t>
  </si>
  <si>
    <t>OBSERVACIONES</t>
  </si>
  <si>
    <t>DA LUZ, ECTOR RUBÉN</t>
  </si>
  <si>
    <t>VILCHES ANA GRACIELA</t>
  </si>
  <si>
    <t>CENTURIÓN QUINTANA, LAMBERTO</t>
  </si>
  <si>
    <t>RIVEROS ANDREA MARIANA</t>
  </si>
  <si>
    <t>GONZALEZ ALTAMIRANO INOCENCIO GREGORIO</t>
  </si>
  <si>
    <t>ESPINDOLA,  RAMONA CARINA</t>
  </si>
  <si>
    <t>VALLEJOS, SERGIO JAVIER</t>
  </si>
  <si>
    <t>ARRIONDO, ELSA JORGELINA</t>
  </si>
  <si>
    <t>ARRIONDO,CRISTIÁN ADRIAN</t>
  </si>
  <si>
    <t>CACERES BENITEZ, ADRIANO</t>
  </si>
  <si>
    <t>BOGADOS JACINTO ALEJANDRO</t>
  </si>
  <si>
    <t>SEGOVIA, JORGELINA MARIELA</t>
  </si>
  <si>
    <t>LANDRIEL, GLADYS ESTEHER</t>
  </si>
  <si>
    <t>GAMARRA, HECTOR FABIÁN</t>
  </si>
  <si>
    <t>BOGADOS, MICAELA CAROLINA</t>
  </si>
  <si>
    <t>SILVA, JESICA</t>
  </si>
  <si>
    <t xml:space="preserve">SAAVEDRA 8069 </t>
  </si>
  <si>
    <t xml:space="preserve">SAAVEDRA 8061 </t>
  </si>
  <si>
    <t xml:space="preserve">SAAVEDRA 8053 </t>
  </si>
  <si>
    <t xml:space="preserve">SAAVEDRA 8047 </t>
  </si>
  <si>
    <t>SAAVEDRA 8041</t>
  </si>
  <si>
    <t xml:space="preserve">SAAVEDRA 8033 </t>
  </si>
  <si>
    <t xml:space="preserve">SAAVEDRA 8015 </t>
  </si>
  <si>
    <t>SAAVEDRA 8001</t>
  </si>
  <si>
    <t xml:space="preserve">PASAJE GRELA 8010 </t>
  </si>
  <si>
    <t xml:space="preserve">PASAJE GRELA 8012 </t>
  </si>
  <si>
    <t xml:space="preserve">PASAJE GRELA 8032 </t>
  </si>
  <si>
    <t xml:space="preserve">PASAJE GRELA 8046 </t>
  </si>
  <si>
    <t xml:space="preserve">PASAJE GRELA 8062 </t>
  </si>
  <si>
    <t xml:space="preserve">PASAJE GRELA 8052 </t>
  </si>
  <si>
    <t xml:space="preserve">CALLE 1722, 3525 </t>
  </si>
  <si>
    <t xml:space="preserve">CALLE 1722, 3519 </t>
  </si>
  <si>
    <t xml:space="preserve">SAAVEDRA 8049 </t>
  </si>
  <si>
    <t>PASAJE GRELA 8002</t>
  </si>
  <si>
    <t>CACERES DOMINGO</t>
  </si>
  <si>
    <t>DEUDA</t>
  </si>
  <si>
    <t>CANCELADO</t>
  </si>
  <si>
    <t>SIN DATOS</t>
  </si>
  <si>
    <t>BENITEZ, MIGUEL ANGEL</t>
  </si>
  <si>
    <t>nunca firmo</t>
  </si>
  <si>
    <t>BULLÓN, GLADYS EULOGIA</t>
  </si>
  <si>
    <t>el banco tampoco tiene</t>
  </si>
  <si>
    <t>VERA DUARTE, BENITO</t>
  </si>
  <si>
    <t>ESCRITURADO</t>
  </si>
  <si>
    <t>Total</t>
  </si>
  <si>
    <t>No quiere pagar por la ex pareja no le cede</t>
  </si>
  <si>
    <t>BOGADOS, LUIS ALBERTO</t>
  </si>
  <si>
    <t>SOLIS, MARÍA CRISTINA</t>
  </si>
  <si>
    <t>ALTAMIRANO, VICENTA ITATÍ</t>
  </si>
  <si>
    <t>FIGUEROA, BERNARDINO</t>
  </si>
  <si>
    <t>FIGUEROA, VICTORIANO</t>
  </si>
  <si>
    <t>BARBERAN SILVERO, IDALIA NOEMI</t>
  </si>
  <si>
    <t>BULLÓN CRISTIAN GABRIEL</t>
  </si>
  <si>
    <t>MOREIRA, FABIAN EDUARDO</t>
  </si>
  <si>
    <t>CAMPOS, VERÓNICA NOEMÍ</t>
  </si>
  <si>
    <t>VAN ISSELDYK, VERÓNICA ANDREA</t>
  </si>
  <si>
    <t>ARRIONDO, ANGELA RITA</t>
  </si>
  <si>
    <t>LOMBARDO,SANTA YSABEL</t>
  </si>
  <si>
    <t>PORTELA VELAZQUEZ, NANCY ELISABETH</t>
  </si>
  <si>
    <t xml:space="preserve">PASAJE GRELA 8049 </t>
  </si>
  <si>
    <t xml:space="preserve">PASAJE GRELA 8043 </t>
  </si>
  <si>
    <t xml:space="preserve">PASAJE GRELA 8019 </t>
  </si>
  <si>
    <t xml:space="preserve">PASAJE GRELA 8027 </t>
  </si>
  <si>
    <t>PASAJE GRELA 8005</t>
  </si>
  <si>
    <t xml:space="preserve">BV SEGUI 8002 </t>
  </si>
  <si>
    <t xml:space="preserve">PASAJE GRELA 8013 </t>
  </si>
  <si>
    <t>PASAJE GRELA 8001</t>
  </si>
  <si>
    <t xml:space="preserve">BV SEGUI 8020 </t>
  </si>
  <si>
    <t xml:space="preserve">BV SEGUI 8006 </t>
  </si>
  <si>
    <t xml:space="preserve">BV SEGUI 8034 </t>
  </si>
  <si>
    <t xml:space="preserve">BV SEGUI 8042 </t>
  </si>
  <si>
    <t xml:space="preserve">BV SEGUI 8038 </t>
  </si>
  <si>
    <t>No la encontramos, buscar</t>
  </si>
  <si>
    <t>No vienen a firmar, son 4 titulares</t>
  </si>
  <si>
    <t>BULLÓN ISIDORA</t>
  </si>
  <si>
    <t>CABRAL GABRIELA</t>
  </si>
  <si>
    <t>Moratoria 2022</t>
  </si>
  <si>
    <t>SERRANO SILVA</t>
  </si>
  <si>
    <t>Moratoria 2024</t>
  </si>
  <si>
    <t>VILAQUI, ROBERTO A.</t>
  </si>
  <si>
    <t>Plan original</t>
  </si>
  <si>
    <t>Sin datos del banco</t>
  </si>
  <si>
    <t>SOSA VILLALBA, JUAN RAMÓN</t>
  </si>
  <si>
    <t>CASTELLANOS CACERES GUZMAN</t>
  </si>
  <si>
    <t>RAMIREZ MARTINEZ, DIEGO DAVID</t>
  </si>
  <si>
    <t>DUARTE ROMERO HUGO JAVIER</t>
  </si>
  <si>
    <t xml:space="preserve">GONZALEZ, VIVEROS NICASIO </t>
  </si>
  <si>
    <t>LOPEZ, MIRTA ADELAIDA</t>
  </si>
  <si>
    <t>SENIQUEL, MARIO JOSE (dice que renuncio)</t>
  </si>
  <si>
    <t>TELLERÍA, MARÍA DEL CARMEN</t>
  </si>
  <si>
    <t>CUEVAS MORINIGO, NELIDA</t>
  </si>
  <si>
    <t>TABARES, YOANA SOLEDAD</t>
  </si>
  <si>
    <t>ESCOBAR, ESTER MABEL</t>
  </si>
  <si>
    <t>MARTINEZ OVIEDO, JOSE BERNARDINO</t>
  </si>
  <si>
    <t>MARTINEZ OVIEDO,  CARLOS MIGUEL</t>
  </si>
  <si>
    <t>BENITEZ, SILVINO ELIECER</t>
  </si>
  <si>
    <t>MARECO TEOFILA</t>
  </si>
  <si>
    <t>SENA, PABLO</t>
  </si>
  <si>
    <t>SANCHEZ, NANCY MIGUELINA</t>
  </si>
  <si>
    <t>SANCHEZ, OMAR INOCENCIO</t>
  </si>
  <si>
    <t>TARQUINO, MARIA SUSANA</t>
  </si>
  <si>
    <t>MOLINAS BERDUN, MARIA CAROLINA</t>
  </si>
  <si>
    <t>BENEGAS AGUIRRE, FERMINA</t>
  </si>
  <si>
    <t>RIVEROS GONZALEZ, EDELIA</t>
  </si>
  <si>
    <t>OVIEDO, OFELIA GRACIELA</t>
  </si>
  <si>
    <t>SANCHEZ, VERONICA LILIANA</t>
  </si>
  <si>
    <t>MENDOZA, PATRICIO MARIANO</t>
  </si>
  <si>
    <t>ALMUA MIRTA BEATRIZ</t>
  </si>
  <si>
    <t>ACOSTA VILLALBA, FRANCISCA SOLANA</t>
  </si>
  <si>
    <t>CACERES VILLALBA, SILVANO</t>
  </si>
  <si>
    <t>MERCADO, MARISA ISABEL</t>
  </si>
  <si>
    <t>CORIA, RAFAELA MARGARITA</t>
  </si>
  <si>
    <t>CIRVINO, MARIA ELENA</t>
  </si>
  <si>
    <t>VAZQUEZ VERÓNICA CELINA</t>
  </si>
  <si>
    <t>RIVEROS, MARCELINA</t>
  </si>
  <si>
    <t>FARIAS, JUAN IGNACIO</t>
  </si>
  <si>
    <t>LOPEZ, ELIANA VERÓNICA</t>
  </si>
  <si>
    <t>MACHUCA, MARIA ROSA</t>
  </si>
  <si>
    <t xml:space="preserve">SAAVEDRA 8038 </t>
  </si>
  <si>
    <t xml:space="preserve">CALLE 1722, 3487 </t>
  </si>
  <si>
    <t>CALLE 1722, 3477 B</t>
  </si>
  <si>
    <t xml:space="preserve">CALLE 1722, 3481 </t>
  </si>
  <si>
    <t xml:space="preserve">CALLE 1722, 3477 C </t>
  </si>
  <si>
    <t xml:space="preserve">CALLE 1722, 3477 D </t>
  </si>
  <si>
    <t xml:space="preserve">SAAVEDRA 8002 </t>
  </si>
  <si>
    <t xml:space="preserve">SAAVEDRA 8004 </t>
  </si>
  <si>
    <t xml:space="preserve">SAAVEDRA 8006 </t>
  </si>
  <si>
    <t xml:space="preserve">SAAVEDRA 8022 </t>
  </si>
  <si>
    <t>CALLE 1722, 3477 E</t>
  </si>
  <si>
    <t>SAAVEDRA 8012</t>
  </si>
  <si>
    <t xml:space="preserve">SAAVEDRA 8026 </t>
  </si>
  <si>
    <t>CALLE 1722, 3477 K</t>
  </si>
  <si>
    <t xml:space="preserve">CALLE 1722, 3477 J </t>
  </si>
  <si>
    <t xml:space="preserve">CALLE 1722, 3463 </t>
  </si>
  <si>
    <t xml:space="preserve">CALLE 1722, 3477 A </t>
  </si>
  <si>
    <t xml:space="preserve">E. ISERN, 7997 </t>
  </si>
  <si>
    <t xml:space="preserve">CALLE 1722, 3477 H </t>
  </si>
  <si>
    <t>CALLE 1722, 3477 G</t>
  </si>
  <si>
    <t xml:space="preserve">CALLE 1722, 3471 </t>
  </si>
  <si>
    <t xml:space="preserve">E. ISERN, 7977 </t>
  </si>
  <si>
    <t>E. ISERN 7981</t>
  </si>
  <si>
    <t xml:space="preserve">E. ISERN, 7983 </t>
  </si>
  <si>
    <t>HNA. PAULA MÁRQUEZ 3470</t>
  </si>
  <si>
    <t>E. ISERN, 7953</t>
  </si>
  <si>
    <t xml:space="preserve">E. ISERN, 7963 </t>
  </si>
  <si>
    <t xml:space="preserve">E. ISERN, 7965 </t>
  </si>
  <si>
    <t xml:space="preserve">E. ISERN, 7971 </t>
  </si>
  <si>
    <t xml:space="preserve">SAAVEDRA 8018 </t>
  </si>
  <si>
    <t xml:space="preserve">HNA. PAULA MÁRQUEZ 3478 </t>
  </si>
  <si>
    <t xml:space="preserve">E. ISERN, 7961 </t>
  </si>
  <si>
    <t xml:space="preserve">CALLE 1722, 3477 I </t>
  </si>
  <si>
    <t>E. ISERN, 7991</t>
  </si>
  <si>
    <t>SAAVEDRA 8030</t>
  </si>
  <si>
    <t>No quiere firmar</t>
  </si>
  <si>
    <t>MEJORAS</t>
  </si>
  <si>
    <t xml:space="preserve">LOPEZ, JOSE OSCAR </t>
  </si>
  <si>
    <t xml:space="preserve">E. ISERN, 8039 </t>
  </si>
  <si>
    <t xml:space="preserve">E. ISERN, 8031 </t>
  </si>
  <si>
    <t>no fue a firmar al colegio</t>
  </si>
  <si>
    <t xml:space="preserve">E. ISERN, 8003 </t>
  </si>
  <si>
    <t xml:space="preserve">MOLINA, VERONICA ANGELICA </t>
  </si>
  <si>
    <t>(casa a nombre de la ex mujer actualmente vive el con su nueva mujer)</t>
  </si>
  <si>
    <t xml:space="preserve">E. ISERN, 8011 </t>
  </si>
  <si>
    <t>fallecio</t>
  </si>
  <si>
    <t>DONN SUSANA ESTHER</t>
  </si>
  <si>
    <t>GODOY, CLAUDIA BEATRIZ</t>
  </si>
  <si>
    <t xml:space="preserve">E. ISERN, 8065 </t>
  </si>
  <si>
    <t>GODOY, DAVID DANIEL</t>
  </si>
  <si>
    <t>E. ISERN, 8059</t>
  </si>
  <si>
    <t>FRANCO, JUAN ANGEL</t>
  </si>
  <si>
    <t>E. ISERN, 8047</t>
  </si>
  <si>
    <t>E. ISERN, 8025</t>
  </si>
  <si>
    <t>E. ISERN, 8017</t>
  </si>
  <si>
    <t>CORONEL, SILVINA OLIVIA</t>
  </si>
  <si>
    <t>AGUIAR, ANGELICA</t>
  </si>
  <si>
    <t xml:space="preserve">E. ISERN, 7993 </t>
  </si>
  <si>
    <t>MOREIRA, ROSANA BEATRIZ</t>
  </si>
  <si>
    <t>E. ISERN, 7989</t>
  </si>
  <si>
    <t>GONZALEZ, JENIFER BELEN</t>
  </si>
  <si>
    <t>E. ISERN, 7987</t>
  </si>
  <si>
    <t>ZACARIAS, GUSTAVO OMAR</t>
  </si>
  <si>
    <t>GONZALEZ, GRACIELA ESTHER</t>
  </si>
  <si>
    <t>SALINAS GOMEZ, ALBERTO</t>
  </si>
  <si>
    <t>ACOSTA VILLALBA, BLACIDO</t>
  </si>
  <si>
    <t>E. ISERN, 7959</t>
  </si>
  <si>
    <t>SANCHEZ, RICARDO</t>
  </si>
  <si>
    <t>ENRIQUE, SUSANA SABINA</t>
  </si>
  <si>
    <t>SAAVEDRA 8014</t>
  </si>
  <si>
    <t>GALLO, ALEXIS BRAULIO</t>
  </si>
  <si>
    <t>SAAVEDRA 8048</t>
  </si>
  <si>
    <t>RIVEROS GONZALEZ, LIDER</t>
  </si>
  <si>
    <t>SAAVEDRA 8062</t>
  </si>
  <si>
    <t>VARGAS, AIDA MERCEDES</t>
  </si>
  <si>
    <t>CALLE 1722, 3477 F</t>
  </si>
  <si>
    <t>VARGAS, ARNALDO MANUEL</t>
  </si>
  <si>
    <t>BANCO FIGURA CON DEUDA, NOSOTROS LO TENEMOS CANCELADO</t>
  </si>
  <si>
    <t>HNA. PAULA MARQUEZ 3418</t>
  </si>
  <si>
    <t>LEDESMA, VALERIA SOLEDAD</t>
  </si>
  <si>
    <t>HNA. PAULA MARQUEZ 3422</t>
  </si>
  <si>
    <t>AYALA, MAXIMA</t>
  </si>
  <si>
    <t>HNA. PAULA MARQUEZ 3428</t>
  </si>
  <si>
    <t>HNA. PAULA MARQUEZ 3436</t>
  </si>
  <si>
    <t>CUEVAS, VICTOR HUGO</t>
  </si>
  <si>
    <t>DIAZ, LILIANA ELBA</t>
  </si>
  <si>
    <t>HNA. PAULA MARQUEZ 3444</t>
  </si>
  <si>
    <t>ENRIQUE, GRACIELA</t>
  </si>
  <si>
    <t>QUIÑONES ACOSTA, ESTELVINA</t>
  </si>
  <si>
    <t>RAMIREZ, KEILA DAIANA</t>
  </si>
  <si>
    <t>VARGAS VELASQUEZ, ELDA MARINA</t>
  </si>
  <si>
    <t>ACOSTA, YANINA ELISABET</t>
  </si>
  <si>
    <t>SORIA, MARIA ELENA</t>
  </si>
  <si>
    <t>PERALTA, PABLO CESAR</t>
  </si>
  <si>
    <t>FIGUEROA, LILIANA MARISOL</t>
  </si>
  <si>
    <t>GOMEZ, DOMINGA CELIA</t>
  </si>
  <si>
    <t>QUIROZ, NATALIA LILIANA</t>
  </si>
  <si>
    <t>QUIROZ, OSVALDO</t>
  </si>
  <si>
    <t>MONTERO, MARIA CRISTINA</t>
  </si>
  <si>
    <t>ROJAS, VIVIANA DOLORES</t>
  </si>
  <si>
    <t>ESPINOLA GOMEZ, ARIEL GUMERCINDO</t>
  </si>
  <si>
    <t>NUÑES SANCHEZ, CLAUDIA TERESA</t>
  </si>
  <si>
    <t>FERNANDEZ, SANDRA ENCARNACION</t>
  </si>
  <si>
    <t>GONZALEZ DUARTE, GERARDO RAMON</t>
  </si>
  <si>
    <t>SILVERO ALFONSO, ESTELA MARYS</t>
  </si>
  <si>
    <t>MORALES, LORENZO ANDRES</t>
  </si>
  <si>
    <t>QUIROZ, MARIA MARTINA</t>
  </si>
  <si>
    <t>ACOSTA, NELIDA ALBA</t>
  </si>
  <si>
    <t>SANTA CRUZ CARRASCO, ELVIO</t>
  </si>
  <si>
    <t>NUÑEZ SANCHEZ, MIRIAM DEL PILAR</t>
  </si>
  <si>
    <t>AGUIRRE, SILVIA PATRICIA</t>
  </si>
  <si>
    <t>MARECO, TORRES GERARDO</t>
  </si>
  <si>
    <t>AGUIRRE, ROCIO BELEN</t>
  </si>
  <si>
    <t>AGUIRRE, MONICA BEATRIZ</t>
  </si>
  <si>
    <t>ORTIZ, AMALIA DONATA</t>
  </si>
  <si>
    <t>MARTINEZ OVIEDO, ANDRES DARIO</t>
  </si>
  <si>
    <t>Deuda en 6 cuotas</t>
  </si>
  <si>
    <t>moratoria 2022</t>
  </si>
  <si>
    <t>3 cuotas pendientes</t>
  </si>
  <si>
    <t>Acutualizo la deuda</t>
  </si>
  <si>
    <t>E. A. ISERN, 7970</t>
  </si>
  <si>
    <t>E. A. ISERN, 7978 Dpto. A</t>
  </si>
  <si>
    <t>E. A. ISERN 7978 Dpto. B</t>
  </si>
  <si>
    <t>Nunca firmo</t>
  </si>
  <si>
    <t>E. A. ISERN 7996</t>
  </si>
  <si>
    <t>E. A. ISERN 8012</t>
  </si>
  <si>
    <t>Fallecio el titular estan inicando la declaracion</t>
  </si>
  <si>
    <t>E.A. ISERN 8018 Dpto A</t>
  </si>
  <si>
    <t>VILLALBA, ROCIO ELIZABETH</t>
  </si>
  <si>
    <t>E. A. ISERN 8018 Dpto. B</t>
  </si>
  <si>
    <t>E. A. ISERN 8024</t>
  </si>
  <si>
    <t>TELLES GONZALEZ, ISABELINO</t>
  </si>
  <si>
    <t>E. A. ISERN 8028</t>
  </si>
  <si>
    <t>VECCHIO, DIEGO H</t>
  </si>
  <si>
    <t>E. A. ISERN 8032</t>
  </si>
  <si>
    <t>GONZALEZ, LILIANA BEATRIZ</t>
  </si>
  <si>
    <t>E. A. ISERN 8042 Dpto C</t>
  </si>
  <si>
    <t>Ni el banco ni nosotros tenemos registro</t>
  </si>
  <si>
    <t>E. A. ISERN 8052</t>
  </si>
  <si>
    <t>FERREYRA, ROXANA ELIZABET</t>
  </si>
  <si>
    <t>E. A. ISERN 8054</t>
  </si>
  <si>
    <t>E. A. ISERN 8066 Dpto A</t>
  </si>
  <si>
    <t>E. A. ISERN 8066 Dpto B</t>
  </si>
  <si>
    <t>E. A. ISERN 8070</t>
  </si>
  <si>
    <t>Fallecio , vive la mujer del hijo en la casa</t>
  </si>
  <si>
    <t>MUNICIPALIDAD</t>
  </si>
  <si>
    <t>CACERES, VALERIA</t>
  </si>
  <si>
    <t>BENITEZ SILVERO, ROSA ALBA</t>
  </si>
  <si>
    <t>FLORES, JOSE SIMON</t>
  </si>
  <si>
    <t>ESPINOZA MARTINEZ, LIZZ NOELIA CONCEPCION</t>
  </si>
  <si>
    <t>LOPEZ GONZALEZ, ALBERTO</t>
  </si>
  <si>
    <t>ACUÑA, DELFIRIO DIOSNEL</t>
  </si>
  <si>
    <t>VARGAS, MARICEL ELIANA</t>
  </si>
  <si>
    <t>CABANA, BERNARDA RAMONA</t>
  </si>
  <si>
    <t>MIRANDA VILLALBA RAQUEL</t>
  </si>
  <si>
    <t>SOSA VILLALBA MARÍA MAGDALENA</t>
  </si>
  <si>
    <t>SOSA VILLALBA, ABEL</t>
  </si>
  <si>
    <t>GIMENEZ, GRACIELA BEATRIZ</t>
  </si>
  <si>
    <t>FERNANDEZ DELIA MERCEDES</t>
  </si>
  <si>
    <t>PUCHETA MARIANO EZEQUIEL</t>
  </si>
  <si>
    <t>ALTAMIRANO CABRERA ALEJANDRINA</t>
  </si>
  <si>
    <t>ARAUJO DEL VALLE, MIGUEL</t>
  </si>
  <si>
    <t>ARAUJO DEL VALLE, VICENTE</t>
  </si>
  <si>
    <t>VENIALGO TRINIDAD DELLROSARIA</t>
  </si>
  <si>
    <t>OVIEDO,CELINA ANDREA</t>
  </si>
  <si>
    <t>VILCHES CRISTINA NORMA</t>
  </si>
  <si>
    <t>VILLALBA, JOSE HILARIO</t>
  </si>
  <si>
    <t xml:space="preserve">ENCINA, MARIA INES </t>
  </si>
  <si>
    <t>GRANEROS, JULIO LEONARDO</t>
  </si>
  <si>
    <t>CORBALAN, SAIDA ANTONELLA</t>
  </si>
  <si>
    <t>ENCINA, NOELIA</t>
  </si>
  <si>
    <t>VILLALBA CORONEL, RAMON</t>
  </si>
  <si>
    <t>CENTRO COMUNITARIO JEFAS DE FAMILIA ZONA OESTE</t>
  </si>
  <si>
    <t>NUÑEZ, KAREN GABRIELA</t>
  </si>
  <si>
    <t>VALLEJOS JAQUELINA GUADALUPE</t>
  </si>
  <si>
    <t>HNA PAULA MÁRQUEZ 3441</t>
  </si>
  <si>
    <t>Tanda 5</t>
  </si>
  <si>
    <t>Tanda 7</t>
  </si>
  <si>
    <t>MORILLO, PATRICIA EUGENIA</t>
  </si>
  <si>
    <t xml:space="preserve">E.A. ISERN, 7910 </t>
  </si>
  <si>
    <t xml:space="preserve">E. A. ISERN, 7904 </t>
  </si>
  <si>
    <t>E. A. ISERN, 7902 Dpto. B</t>
  </si>
  <si>
    <t xml:space="preserve">CORBALAN, DAIANA AYELÉN </t>
  </si>
  <si>
    <t>E. A. ISERN, 7902 Dpto. A</t>
  </si>
  <si>
    <t xml:space="preserve">E. A. ISERN, 7888 </t>
  </si>
  <si>
    <t>E.A. ISERN, 7886 Dpto. B</t>
  </si>
  <si>
    <t>E. A. ISERN, 7886 Dpto. A</t>
  </si>
  <si>
    <t xml:space="preserve">E.A. ISERN, 7880 </t>
  </si>
  <si>
    <t xml:space="preserve">E. A. ISERN, 7876 </t>
  </si>
  <si>
    <t xml:space="preserve">E. A. ISERN, 7872 </t>
  </si>
  <si>
    <t>E.A. ISERN, 7870 Dpto. A</t>
  </si>
  <si>
    <t xml:space="preserve">E. A. ISERN, 7868 </t>
  </si>
  <si>
    <t>no hay datos, buscar</t>
  </si>
  <si>
    <t xml:space="preserve">SANTILLAN, MATÍAS JESÚS </t>
  </si>
  <si>
    <t>Hna PAULA MÁRQUEZ 3427</t>
  </si>
  <si>
    <t>GONZALEZ, VANESA ELIANA</t>
  </si>
  <si>
    <t>Moratoria 2022 , 6 cuotas</t>
  </si>
  <si>
    <t>E. A. ISERN 7860</t>
  </si>
  <si>
    <t>PANIAGUA, ESTEFANIA ROMINA</t>
  </si>
  <si>
    <t>E. A. ISERN 7870 Dpto. B</t>
  </si>
  <si>
    <t>URISTA, JORGE NICA</t>
  </si>
  <si>
    <t>E. A. ISERN 7884</t>
  </si>
  <si>
    <t>PERNA, MARISOL ELIZABET</t>
  </si>
  <si>
    <t>E. A. ISERN 7896</t>
  </si>
  <si>
    <t>PEREYRA YAMILA JULIA</t>
  </si>
  <si>
    <t>PLAZA</t>
  </si>
  <si>
    <t>NAVARRO ESPINOSA, RAMONA ELIZABET</t>
  </si>
  <si>
    <t>SIERRA, MARCELINA</t>
  </si>
  <si>
    <t>DÍAZ, CRISTÓBAL</t>
  </si>
  <si>
    <t>ROMERO, FIDEL LUIS</t>
  </si>
  <si>
    <t>AYALA ROSANA MARÍA ITATÍ</t>
  </si>
  <si>
    <t>DELGADO, SILVINA NOEMI</t>
  </si>
  <si>
    <t>CANTEROS, DEBORA NATALIA</t>
  </si>
  <si>
    <t>ACOSTA GABRIELA AZUCENA</t>
  </si>
  <si>
    <t>GODOY MARCONI, SERGIO</t>
  </si>
  <si>
    <t>GAMARRA, JUAN CARLOS</t>
  </si>
  <si>
    <t>AYALA, CRISTIAN EDUARDO</t>
  </si>
  <si>
    <t>CASTILLO, ALEJANDRO</t>
  </si>
  <si>
    <t>CASTILLO, LIDA</t>
  </si>
  <si>
    <t>VILLA,  LEONARDO FABIAN</t>
  </si>
  <si>
    <t>VILLA, GUILLERMO JOSE</t>
  </si>
  <si>
    <t>ACOSTA VILLALBA, MANUEL ANTONIO</t>
  </si>
  <si>
    <t>CARRASCO, LUCAS JAVIER</t>
  </si>
  <si>
    <t>AYALA LOBOS, SERGIO HERNÁN</t>
  </si>
  <si>
    <t>ALTAMIRANO CABRERA PERLA IRIS</t>
  </si>
  <si>
    <t>SORIA, JESICA JUDITH</t>
  </si>
  <si>
    <t>ALFONSO, MARTIN</t>
  </si>
  <si>
    <t>AMOROSINO, LIDIA MARTA</t>
  </si>
  <si>
    <t>BARRIOS, VERÓNICA ISABEL</t>
  </si>
  <si>
    <t>CAMPOS, ANICETO</t>
  </si>
  <si>
    <t>CABRAL, JUAN CARLOS</t>
  </si>
  <si>
    <t>RODRIGUEZ MIRTA NOEMI</t>
  </si>
  <si>
    <t xml:space="preserve">HNA.PAULA MARQUEZ 3477 </t>
  </si>
  <si>
    <t xml:space="preserve">HNA.PAULA MARQUEZ 3463 </t>
  </si>
  <si>
    <t>HNA. PAULA MARQUEZ 3457</t>
  </si>
  <si>
    <t xml:space="preserve">E. A. ISERN, 7933 </t>
  </si>
  <si>
    <t xml:space="preserve">E. A., ISERN, 7919B </t>
  </si>
  <si>
    <t xml:space="preserve">E. A. ISERN, 7917 </t>
  </si>
  <si>
    <t xml:space="preserve">E. A. ISERN, 7923 </t>
  </si>
  <si>
    <t xml:space="preserve">E. A. ISERN, 7913 </t>
  </si>
  <si>
    <t>E. A. ISERN, 7909</t>
  </si>
  <si>
    <t xml:space="preserve">E. A. ISERN, 7907 </t>
  </si>
  <si>
    <t xml:space="preserve">E. A. ISERN, 7899 </t>
  </si>
  <si>
    <t>E. A. ISERN, 7929</t>
  </si>
  <si>
    <t>MENDOZA ADRIANA SILVINA</t>
  </si>
  <si>
    <t>E. A. ISERN, 7903 Dpto. A</t>
  </si>
  <si>
    <t>E. A. ISERN, 7903 Dpto. B</t>
  </si>
  <si>
    <t xml:space="preserve"> E. A. Isern Nº 7901</t>
  </si>
  <si>
    <t>Tanda 8</t>
  </si>
  <si>
    <t xml:space="preserve">E. A. ISERN, 7895 </t>
  </si>
  <si>
    <t xml:space="preserve">E. A. ISERN, 7891 </t>
  </si>
  <si>
    <t xml:space="preserve">E. A. ISERN, 7887 </t>
  </si>
  <si>
    <t xml:space="preserve">E. A. ISERN, 7883 </t>
  </si>
  <si>
    <t xml:space="preserve">E. A. ISERN, 7879 </t>
  </si>
  <si>
    <t xml:space="preserve">E. A. ISERN, 7875 </t>
  </si>
  <si>
    <t xml:space="preserve">E. A. ISERN, 7871 </t>
  </si>
  <si>
    <t xml:space="preserve">E. A. ISERN, 7867 </t>
  </si>
  <si>
    <t xml:space="preserve">E. A. ISERN, 7863 </t>
  </si>
  <si>
    <t>E. A. ISERN, 7889 Dpto. A</t>
  </si>
  <si>
    <t xml:space="preserve">E. A. ISERN, 7889 Dpto. B </t>
  </si>
  <si>
    <t>No va a firmar porque quiere sacar un credito</t>
  </si>
  <si>
    <t xml:space="preserve">E. A. ISERN, 7859 </t>
  </si>
  <si>
    <t>E. A. ISERN, 7873 dpto.A</t>
  </si>
  <si>
    <t>E. A. ISERN, 7873 Dpto. B</t>
  </si>
  <si>
    <t>buscar</t>
  </si>
  <si>
    <t>31-32</t>
  </si>
  <si>
    <t>buscar , indefinido la direccion, sin datos</t>
  </si>
  <si>
    <t xml:space="preserve">E. A. ISERN, 7857B/7853/7849 </t>
  </si>
  <si>
    <t>E. A. ISERN 7931</t>
  </si>
  <si>
    <t>VALLEJOS, GUSTAVO DAVID</t>
  </si>
  <si>
    <t>E. A. ISERN 7925</t>
  </si>
  <si>
    <t>CABRAL, LUIS ALBERTO</t>
  </si>
  <si>
    <t>E. A. ISERN 7919</t>
  </si>
  <si>
    <t>DÍAZ, MARÍA VANESA</t>
  </si>
  <si>
    <t>HNA. PAULA MARQUEZ 3471</t>
  </si>
  <si>
    <t>AQUINO, HÉCTOR EDUARDO</t>
  </si>
  <si>
    <t>PASAJE GRELA Nº 8063</t>
  </si>
  <si>
    <t>PASAJE GRELA Nº 8055</t>
  </si>
  <si>
    <t>PASAJE GRELA Nº 8035</t>
  </si>
  <si>
    <t>BV. SEGUI Nº 8014</t>
  </si>
  <si>
    <t>BV. SEGUI Nº 8028</t>
  </si>
  <si>
    <t>BV. SEGUI Nº 8050</t>
  </si>
  <si>
    <t>BV. SEGUI Nº 8058</t>
  </si>
  <si>
    <t>CALLE 1722 Nº 3589</t>
  </si>
  <si>
    <t xml:space="preserve">CALLE 1722 Nº 3567 </t>
  </si>
  <si>
    <t>CALLE 1722 Nº 3597</t>
  </si>
  <si>
    <t>CALLE 1722 Nº 3593</t>
  </si>
  <si>
    <t>CALLE 1722 Nº 3579</t>
  </si>
  <si>
    <t>CALLE 1722 Nº 3585</t>
  </si>
  <si>
    <t>SAAVEDRA Nº 8023</t>
  </si>
  <si>
    <t>SAAVEDRA Nº 8007</t>
  </si>
  <si>
    <t>PASAJE GRELA Nº 8006</t>
  </si>
  <si>
    <t>PASAJE GRELA Nº 8016</t>
  </si>
  <si>
    <t>PASAJE GRELA Nº 8024</t>
  </si>
  <si>
    <t>PASAJE GRELA Nº 8040</t>
  </si>
  <si>
    <t>PASAJE GRELA Nº 8056</t>
  </si>
  <si>
    <t>CALLE 1722 Nº 3535</t>
  </si>
  <si>
    <t>E. ISERN, 8007 Dpto. A</t>
  </si>
  <si>
    <t>E. ISERN, 8001 Dpto. A</t>
  </si>
  <si>
    <t>E. ISERN 8001 Dpto. B</t>
  </si>
  <si>
    <t>E. ISERN, 7975 Dpto. A</t>
  </si>
  <si>
    <t>E. ISERN, 7975 Dpto. B</t>
  </si>
  <si>
    <t>E. ISERN, 7975 Dpto. C</t>
  </si>
  <si>
    <t>E. A. ISERN, 7960</t>
  </si>
  <si>
    <t>E. A. ISERN, 7962</t>
  </si>
  <si>
    <t>E. A. ISERN, 7966</t>
  </si>
  <si>
    <t>E. A. ISERN, 7976</t>
  </si>
  <si>
    <t>E. A. ISERN, 7978 c</t>
  </si>
  <si>
    <t>E. A. ISERN, 7988</t>
  </si>
  <si>
    <t>E. A. ISERN, 7982</t>
  </si>
  <si>
    <t>E. A. ISERN, 7992 Dpto.A</t>
  </si>
  <si>
    <t>E. A. ISERN, 7992 Dpto. B</t>
  </si>
  <si>
    <t>E. A. ISERN, 7994</t>
  </si>
  <si>
    <t>E. A. ISERN, 7998</t>
  </si>
  <si>
    <t>E. A. ISERN, 8002</t>
  </si>
  <si>
    <t>E. A. ISERN, 8006 a</t>
  </si>
  <si>
    <t>E. A. ISERN, 8006 b</t>
  </si>
  <si>
    <t>E. A. ISERN, 8036</t>
  </si>
  <si>
    <t>E. A. ISERN, 8046</t>
  </si>
  <si>
    <t>E. A. ISERN, 8060</t>
  </si>
  <si>
    <t>E. A. ISERN, 8042 Dpto A</t>
  </si>
  <si>
    <t>E. A. ISERN, 8042 Dpto. B</t>
  </si>
  <si>
    <t xml:space="preserve">E. A. ISERN, 7852 </t>
  </si>
  <si>
    <t xml:space="preserve">E. A. ISERN, 7858 </t>
  </si>
  <si>
    <t xml:space="preserve">E. A. ISERN, 7864 </t>
  </si>
  <si>
    <t xml:space="preserve">E. A. ISERN, 7892 </t>
  </si>
  <si>
    <t xml:space="preserve">E. A. ISERN, 7898 </t>
  </si>
  <si>
    <t xml:space="preserve">E. A. ISERN, 7906 </t>
  </si>
  <si>
    <t xml:space="preserve">E. A. ISERN 7914 </t>
  </si>
  <si>
    <t>E. A. ISERN, 7916 Dpto. B</t>
  </si>
  <si>
    <t xml:space="preserve">E. A. ISERN, 7918 </t>
  </si>
  <si>
    <t xml:space="preserve">E. A. ISERN 7922 </t>
  </si>
  <si>
    <t xml:space="preserve">E. A. ISERN, 7926 </t>
  </si>
  <si>
    <t xml:space="preserve">E. A. ISERN, 7930 </t>
  </si>
  <si>
    <t>E. A. ISERN, 7932 Dpto. A</t>
  </si>
  <si>
    <t>E. A. ISERN 7932  Dpto. B</t>
  </si>
  <si>
    <t xml:space="preserve">E. A. ISERN, 7936 </t>
  </si>
  <si>
    <t xml:space="preserve">E. A. ISERN, 7938 </t>
  </si>
  <si>
    <t xml:space="preserve">E. A. ISERN, 7850 </t>
  </si>
  <si>
    <t xml:space="preserve">E. A. ISERN, 7854 Dpto. A </t>
  </si>
  <si>
    <t xml:space="preserve">E. A. ISERN 7854 Dpto. B </t>
  </si>
  <si>
    <t xml:space="preserve">E. A. ISERN 7916 Dpto. A </t>
  </si>
  <si>
    <t>E. ISERN, 8053</t>
  </si>
  <si>
    <t>CANCELADO-PP</t>
  </si>
  <si>
    <t>MANZANA 1</t>
  </si>
  <si>
    <t>MANZANA 2</t>
  </si>
  <si>
    <t>MANZANA 3</t>
  </si>
  <si>
    <t>MANZANA 5</t>
  </si>
  <si>
    <t>MANZANA 4</t>
  </si>
  <si>
    <t>MANZANA 6</t>
  </si>
  <si>
    <t>ESCRITURADOS</t>
  </si>
  <si>
    <t>CANCELADOS</t>
  </si>
  <si>
    <t>Columna1</t>
  </si>
  <si>
    <t>TOTALES</t>
  </si>
  <si>
    <t>CARBALLO, MARCELO FERNANDO (el banco aviso q el no esta)</t>
  </si>
  <si>
    <t>Tanda 11</t>
  </si>
  <si>
    <t>tanda 11</t>
  </si>
  <si>
    <t>TOTAL</t>
  </si>
  <si>
    <t xml:space="preserve">ZACARIAS, PATRICIA CAROLINA </t>
  </si>
  <si>
    <t>copia simple</t>
  </si>
  <si>
    <t>VELAZQUEZ, ANGELICA RAMONA</t>
  </si>
  <si>
    <t xml:space="preserve">copia </t>
  </si>
  <si>
    <t>copia</t>
  </si>
  <si>
    <t>GODOY, ANDREA LORENA</t>
  </si>
  <si>
    <t>Original en SPVH</t>
  </si>
  <si>
    <t>TERZAGHI, RUBEN ORLANDO</t>
  </si>
  <si>
    <t>MAIDANA DUARTE, PABLO</t>
  </si>
  <si>
    <t>CACERES VILLALBA, JOSE DOMINGO</t>
  </si>
  <si>
    <t>ACOSTA VILLALBA, IDELINA</t>
  </si>
  <si>
    <t>JUSTO CARLOS SILVA</t>
  </si>
  <si>
    <t>Ella renuncio en mandatos, queda pendiente confirmacion de renuncia</t>
  </si>
  <si>
    <t xml:space="preserve">tanda 11 </t>
  </si>
  <si>
    <t xml:space="preserve">Tanda 11 </t>
  </si>
  <si>
    <t>Original en el SPVH</t>
  </si>
  <si>
    <t>SARMIENTO, NANCY ALEJANDRA</t>
  </si>
  <si>
    <t>copia simple- Original en el SPVH</t>
  </si>
  <si>
    <t>copia simple - Original en el SPVH</t>
  </si>
  <si>
    <t xml:space="preserve"> </t>
  </si>
  <si>
    <t>tanda 11- Fallecio</t>
  </si>
  <si>
    <t>CARDOZO MAXIMILIANO ROBERTO CARLOS</t>
  </si>
  <si>
    <t>CARDOZO PAMELA NOELIA</t>
  </si>
  <si>
    <t>FIGUEROA CARLOS</t>
  </si>
  <si>
    <t>BENITEZ ACA LEONCIO</t>
  </si>
  <si>
    <t>CHAMIE VANESA CLAUDIA</t>
  </si>
  <si>
    <t>ZACARIAS ARIEL ANDRES</t>
  </si>
  <si>
    <t>LUJAN SALINAS CINTIA ADRIANA</t>
  </si>
  <si>
    <t>GAVILAN GIMENEZ DIEBER</t>
  </si>
  <si>
    <t>SOSA ADRIANA FRANCISCA</t>
  </si>
  <si>
    <t>SARMIENTO GRISELDA ISABEL</t>
  </si>
  <si>
    <t>HIDALGO MIRNA BEATRIZ</t>
  </si>
  <si>
    <t>AYALA JUSTINA</t>
  </si>
  <si>
    <t>ALFONSO RAMONA GRACIELA</t>
  </si>
  <si>
    <t>MEDINA CASERES DIONICIO</t>
  </si>
  <si>
    <t>SILVA ALVARENGA NIMIA</t>
  </si>
  <si>
    <t>TABAREZ MEDINA RICARDO ARNALDO</t>
  </si>
  <si>
    <t>PACHINICK MAIDANA ANTONIA</t>
  </si>
  <si>
    <t>NEGRETTE RAMIREZ LUCIA ELIZABET</t>
  </si>
  <si>
    <t>SILVERO CRISTINA</t>
  </si>
  <si>
    <t>OLMEDO FATIMA JULIANA</t>
  </si>
  <si>
    <t xml:space="preserve">RAMIREZ NANCY MARLENE </t>
  </si>
  <si>
    <t>MEZA LUCRECIA SELENA</t>
  </si>
  <si>
    <t>GAMARRA GILBERTO ESTECHE</t>
  </si>
  <si>
    <t>ARZAMENDIA VALIENTE PETRONILA</t>
  </si>
  <si>
    <t>FARIAS JUAN JOSE LUIS</t>
  </si>
  <si>
    <t>DONN RODOLFO GABRIEL</t>
  </si>
  <si>
    <t>RIVEROS GONZALEZ VICTOR HUGO</t>
  </si>
  <si>
    <t>GODOY BARRETO CELINA</t>
  </si>
  <si>
    <t>ACUÑA NUNEZ PABLO</t>
  </si>
  <si>
    <t>VILLALBA CORONEL CLEMENTINA</t>
  </si>
  <si>
    <t>VILLALBA GUSTAVO PATRICIO</t>
  </si>
  <si>
    <t>MIRANDA SERGIO FABIAN</t>
  </si>
  <si>
    <t>SILVEIRA JOSE ARIEL</t>
  </si>
  <si>
    <t>LOPEZ CORONEL SILVIO</t>
  </si>
  <si>
    <t>VAZQUEZ MARTINEZ ZILMA BEATRIZ</t>
  </si>
  <si>
    <t>DOMINGUEZ CAROLINA SOLEDAD</t>
  </si>
  <si>
    <t>FIGUEROA CARLOS ALBERTO</t>
  </si>
  <si>
    <t>ZARZA OSMAR</t>
  </si>
  <si>
    <t>BRITEZ BENITA DEIDA</t>
  </si>
  <si>
    <t>LOPEZ JESUS OSCAR</t>
  </si>
  <si>
    <t>VALDEZ ADELA</t>
  </si>
  <si>
    <t>ESPINOZA MARIA MARTA</t>
  </si>
  <si>
    <t>VALENCIA MIRIAM IRMA</t>
  </si>
  <si>
    <t>FRANCO BERNARDA</t>
  </si>
  <si>
    <t>MOREIRA NANCI ANTONIA</t>
  </si>
  <si>
    <t>NOVILLO WALTER RAMON</t>
  </si>
  <si>
    <t>ARAUJO ROLON ZULMA BEATRIZ</t>
  </si>
  <si>
    <t>MUSRE ARBEL DEBORA MARIA</t>
  </si>
  <si>
    <t>PELLE LEONARDO JAVIER</t>
  </si>
  <si>
    <t>ACUÑA PELOSA HUGO EVERT</t>
  </si>
  <si>
    <t>LEDESMA GUILLERMO GABRIEL</t>
  </si>
  <si>
    <t>CHAVEZ NATALIA</t>
  </si>
  <si>
    <t>ROMAGUERA URANIDA ISABEL</t>
  </si>
  <si>
    <t>PICON GLADYS MERCEDES</t>
  </si>
  <si>
    <t>BALDOVINO CRISTIAN ALEJANDRO</t>
  </si>
  <si>
    <t>GONZALEZ DAMIANA</t>
  </si>
  <si>
    <t>GOMEZ LAURA NOEMI</t>
  </si>
  <si>
    <t>PEREZ DAMARIS RAQUEL</t>
  </si>
  <si>
    <t>MANSILLA VIVIANA SOLEDAD</t>
  </si>
  <si>
    <t>VALLEJOS SILVIO WALTER</t>
  </si>
  <si>
    <t>FALCON ESTHER HERMELINDA</t>
  </si>
  <si>
    <t>TORRES MARINA ERIKA</t>
  </si>
  <si>
    <t>PAREDES ESPINOLA CARLOS JESUS</t>
  </si>
  <si>
    <t>HEREDIA JORGE ANTONIO</t>
  </si>
  <si>
    <t>MULLER BRIGIDA</t>
  </si>
  <si>
    <t>LEDESMA MARCELO OSCAR</t>
  </si>
  <si>
    <t>AYALA RODOLFO HECTOR</t>
  </si>
  <si>
    <t>TOLEDO CARLOS ANTONIO</t>
  </si>
  <si>
    <t>FERNANDEZ MARIA PABLA</t>
  </si>
  <si>
    <t>TANDA 11?</t>
  </si>
  <si>
    <t>NUÑEZ CABRERA CELSA CAROLINA</t>
  </si>
  <si>
    <t>copia simple en el spvh, retiro 1</t>
  </si>
  <si>
    <t>Copia simple entregado + Original en el SPVH</t>
  </si>
  <si>
    <t>VARGAS SILVINA MERCEDES</t>
  </si>
  <si>
    <t>FIGUEREDO CORONEL JORGE ARIEL</t>
  </si>
  <si>
    <t>ALOMA JORGE LUIS</t>
  </si>
  <si>
    <t>VILLALBA CORONEL EUGENIO</t>
  </si>
  <si>
    <t>TELLES DOMINGO</t>
  </si>
  <si>
    <t>CABANA BENIGNA FELISA</t>
  </si>
  <si>
    <t>VALLEJOS NESTOR</t>
  </si>
  <si>
    <t>NUÑES SERGIO DARIO</t>
  </si>
  <si>
    <t>ACOSTA NAVARRO PORFIDIO</t>
  </si>
  <si>
    <t>AYALA HORACIO</t>
  </si>
  <si>
    <t>MONTIEL ENRIQUE CARLOS ANTONIO</t>
  </si>
  <si>
    <t>TOLEDO JOSE MARIA</t>
  </si>
  <si>
    <t>MICO CLAUDIA SILVIA</t>
  </si>
  <si>
    <t>Original en el SPVH -en la escritura esta ella sola</t>
  </si>
  <si>
    <t>VILLALVA, VILMA</t>
  </si>
  <si>
    <t>AQUINO AMARILLO WUALDINA</t>
  </si>
  <si>
    <t>Nunca firmo. Vino al spv Bordon Natalia en febrero 2026, presentò una nota para regularizar. Vecchio no vive mas. Contacto de ella: 3412813926</t>
  </si>
  <si>
    <t>VERA MARTINEZ, DANIEL APOLINO</t>
  </si>
  <si>
    <t xml:space="preserve">copia simple - Original en el SPVH. Se entrego copia simple mayo 2026.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</si>
</sst>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/>
    <xf numFmtId="0" fontId="2" fillId="0" borderId="0" xfId="0" applyFont="1" applyFill="1" applyBorder="1" applyAlignment="1" applyProtection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/>
    <xf numFmtId="0" fontId="3" fillId="0" borderId="0" xfId="0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7" xfId="0" applyBorder="1" applyAlignment="1">
      <alignment horizont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6" xfId="0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5" xfId="0" applyFill="1" applyBorder="1"/>
    <xf numFmtId="0" fontId="0" fillId="7" borderId="6" xfId="0" applyFill="1" applyBorder="1"/>
    <xf numFmtId="0" fontId="1" fillId="0" borderId="0" xfId="0" applyFont="1" applyAlignment="1"/>
    <xf numFmtId="0" fontId="1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mergeCell="0" readingOrder="0"/>
      <protection locked="1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1" indent="0" relativeIndent="0" justifyLastLine="0" shrinkToFit="0" mergeCell="0" readingOrder="0"/>
    </dxf>
    <dxf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9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9" tint="0.3999755851924192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8" tint="0.39997558519241921"/>
        </patternFill>
      </fill>
      <alignment vertical="top" textRotation="0" wrapText="0" indent="0" relativeIndent="0" justifyLastLine="0" shrinkToFit="0" mergeCell="0" readingOrder="0"/>
      <border diagonalUp="0" diagonalDown="0" outline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vertical="top" textRotation="0" wrapText="0" indent="0" relativeIndent="0" justifyLastLine="0" shrinkToFit="0" mergeCell="0" readingOrder="0"/>
      <border diagonalUp="0" diagonalDown="0" outline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5" tint="0.3999755851924192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7" tint="0.3999755851924192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3" tint="0.59999389629810485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92D05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92D05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general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mergeCell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top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left" vertic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mergeCell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255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mergeCell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autoTitleDeleted val="1"/>
    <c:plotArea>
      <c:layout>
        <c:manualLayout>
          <c:layoutTarget val="inner"/>
          <c:xMode val="edge"/>
          <c:yMode val="edge"/>
          <c:x val="0.23476444636642843"/>
          <c:y val="0"/>
          <c:w val="0.6143713490048297"/>
          <c:h val="0.926282542221537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4007789027762441"/>
                  <c:y val="-0.11323450750804026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0.10633440575899562"/>
                  <c:y val="0.10288899579002668"/>
                </c:manualLayout>
              </c:layout>
              <c:showCatName val="1"/>
              <c:showPercent val="1"/>
            </c:dLbl>
            <c:dLbl>
              <c:idx val="4"/>
              <c:layout>
                <c:manualLayout>
                  <c:x val="0.10070725100563382"/>
                  <c:y val="7.5835769342278925E-2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GRAFICO!$A$12:$A$16</c:f>
              <c:strCache>
                <c:ptCount val="5"/>
                <c:pt idx="0">
                  <c:v>ESCRITURADOS</c:v>
                </c:pt>
                <c:pt idx="1">
                  <c:v>MEJORAS</c:v>
                </c:pt>
                <c:pt idx="2">
                  <c:v>DEUDA</c:v>
                </c:pt>
                <c:pt idx="3">
                  <c:v>SIN DATOS</c:v>
                </c:pt>
                <c:pt idx="4">
                  <c:v>CANCELADOS</c:v>
                </c:pt>
              </c:strCache>
            </c:strRef>
          </c:cat>
          <c:val>
            <c:numRef>
              <c:f>GRAFICO!$B$12:$B$16</c:f>
              <c:numCache>
                <c:formatCode>General</c:formatCode>
                <c:ptCount val="5"/>
                <c:pt idx="0">
                  <c:v>136</c:v>
                </c:pt>
                <c:pt idx="1">
                  <c:v>17</c:v>
                </c:pt>
                <c:pt idx="2">
                  <c:v>38</c:v>
                </c:pt>
                <c:pt idx="3">
                  <c:v>7</c:v>
                </c:pt>
                <c:pt idx="4">
                  <c:v>29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  <c:txPr>
    <a:bodyPr/>
    <a:lstStyle/>
    <a:p>
      <a:pPr>
        <a:defRPr>
          <a:latin typeface="+mn-lt"/>
        </a:defRPr>
      </a:pPr>
      <a:endParaRPr lang="es-ES"/>
    </a:p>
  </c:txPr>
  <c:printSettings>
    <c:headerFooter/>
    <c:pageMargins b="0.75000000000000611" l="0.70000000000000062" r="0.70000000000000062" t="0.750000000000006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8</xdr:row>
      <xdr:rowOff>114299</xdr:rowOff>
    </xdr:from>
    <xdr:to>
      <xdr:col>9</xdr:col>
      <xdr:colOff>219074</xdr:colOff>
      <xdr:row>28</xdr:row>
      <xdr:rowOff>19050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a2" displayName="Tabla2" ref="A1:F28" totalsRowCount="1" headerRowDxfId="155" dataDxfId="154" totalsRowDxfId="153">
  <autoFilter ref="A1:F27">
    <filterColumn colId="4"/>
  </autoFilter>
  <tableColumns count="6">
    <tableColumn id="1" name="TITULAR" totalsRowLabel="Total" dataDxfId="152" totalsRowDxfId="151"/>
    <tableColumn id="2" name="COTITULAR" dataDxfId="150" totalsRowDxfId="149"/>
    <tableColumn id="3" name="LOTE" dataDxfId="148" totalsRowDxfId="147"/>
    <tableColumn id="4" name="DIRECCION" dataDxfId="146" totalsRowDxfId="145"/>
    <tableColumn id="5" name="ESTADO" totalsRowFunction="count" dataDxfId="144" totalsRowDxfId="143"/>
    <tableColumn id="6" name="OBSERVACIONES" dataDxfId="142" totalsRowDxfId="14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F28" totalsRowCount="1" headerRowDxfId="140" dataDxfId="139" totalsRowDxfId="138">
  <autoFilter ref="A1:F27"/>
  <tableColumns count="6">
    <tableColumn id="1" name="TITULAR" totalsRowLabel="Total" dataDxfId="137" totalsRowDxfId="136"/>
    <tableColumn id="2" name="COTITULAR" dataDxfId="135" totalsRowDxfId="134"/>
    <tableColumn id="3" name="LOTE" dataDxfId="133" totalsRowDxfId="132"/>
    <tableColumn id="4" name="DIRECCION" dataDxfId="131" totalsRowDxfId="130"/>
    <tableColumn id="5" name="ESTADO" totalsRowFunction="count" dataDxfId="129" totalsRowDxfId="128"/>
    <tableColumn id="6" name="OBSERVACIONES" dataDxfId="127" totalsRowDxfId="1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F61" totalsRowCount="1" headerRowDxfId="125" dataDxfId="124" totalsRowDxfId="123">
  <autoFilter ref="A1:F60"/>
  <tableColumns count="6">
    <tableColumn id="1" name="TITULAR" totalsRowLabel="Total" dataDxfId="122" totalsRowDxfId="121"/>
    <tableColumn id="2" name="COTITULAR" dataDxfId="120" totalsRowDxfId="119"/>
    <tableColumn id="3" name="LOTE" dataDxfId="118" totalsRowDxfId="117"/>
    <tableColumn id="4" name="DIRECCION" dataDxfId="116" totalsRowDxfId="115"/>
    <tableColumn id="5" name="ESTADO" totalsRowFunction="count" dataDxfId="114" totalsRowDxfId="113"/>
    <tableColumn id="6" name="OBSERVACIONES" dataDxfId="112" totalsRowDxfId="111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F42" totalsRowCount="1" headerRowDxfId="110" dataDxfId="109" totalsRowDxfId="108">
  <autoFilter ref="A1:F41"/>
  <tableColumns count="6">
    <tableColumn id="1" name="TITULAR" totalsRowLabel="Total" dataDxfId="107" totalsRowDxfId="5"/>
    <tableColumn id="2" name="COTITULAR" dataDxfId="106" totalsRowDxfId="4"/>
    <tableColumn id="3" name="LOTE" dataDxfId="105" totalsRowDxfId="3"/>
    <tableColumn id="4" name="DIRECCION" dataDxfId="104" totalsRowDxfId="2"/>
    <tableColumn id="5" name="ESTADO" totalsRowFunction="count" dataDxfId="103" totalsRowDxfId="1"/>
    <tableColumn id="6" name="OBSERVACIONES" dataDxfId="102" totalsRowDxfId="0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F41" totalsRowCount="1" headerRowDxfId="101" dataDxfId="100" totalsRowDxfId="99">
  <autoFilter ref="A1:F40"/>
  <tableColumns count="6">
    <tableColumn id="1" name="TITULAR" totalsRowLabel="Total" dataDxfId="98" totalsRowDxfId="97"/>
    <tableColumn id="2" name="COTITULAR" dataDxfId="96" totalsRowDxfId="95"/>
    <tableColumn id="3" name="LOTE" dataDxfId="94" totalsRowDxfId="93"/>
    <tableColumn id="4" name="DIRECCION" dataDxfId="92" totalsRowDxfId="91"/>
    <tableColumn id="5" name="ESTADO" totalsRowFunction="count" dataDxfId="90" totalsRowDxfId="89"/>
    <tableColumn id="6" name="OBSERVACIONES" dataDxfId="88" totalsRowDxfId="87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F36" totalsRowCount="1" headerRowDxfId="86" dataDxfId="85" totalsRowDxfId="84">
  <autoFilter ref="A1:F35"/>
  <tableColumns count="6">
    <tableColumn id="1" name="TITULAR" totalsRowLabel="Total" dataDxfId="83" totalsRowDxfId="11"/>
    <tableColumn id="2" name="COTITULAR" dataDxfId="82" totalsRowDxfId="10"/>
    <tableColumn id="3" name="LOTE" dataDxfId="81" totalsRowDxfId="9"/>
    <tableColumn id="4" name="DIRECCION" dataDxfId="80" totalsRowDxfId="8"/>
    <tableColumn id="5" name="ESTADO" totalsRowFunction="count" dataDxfId="79" totalsRowDxfId="7"/>
    <tableColumn id="6" name="OBSERVACIONES" dataDxfId="78" totalsRowDxfId="6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7" name="Tabla7" displayName="Tabla7" ref="A1:B7" totalsRowCount="1" headerRowDxfId="77" dataDxfId="75" totalsRowDxfId="73" headerRowBorderDxfId="76" tableBorderDxfId="74" totalsRowBorderDxfId="72">
  <autoFilter ref="A1:B6"/>
  <tableColumns count="2">
    <tableColumn id="1" name="MANZANA 1" totalsRowLabel="Total" dataDxfId="71" totalsRowDxfId="70"/>
    <tableColumn id="2" name="Columna1" totalsRowFunction="custom" dataDxfId="69" totalsRowDxfId="68">
      <totalsRowFormula>SUM(B2:B6)</totalsRow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C1:D7" totalsRowCount="1" headerRowDxfId="67" dataDxfId="65" totalsRowDxfId="63" headerRowBorderDxfId="66" tableBorderDxfId="64" totalsRowBorderDxfId="62">
  <autoFilter ref="C1:D6"/>
  <tableColumns count="2">
    <tableColumn id="1" name="MANZANA 2" dataDxfId="61" totalsRowDxfId="60"/>
    <tableColumn id="2" name="Columna1" totalsRowFunction="custom" dataDxfId="59" totalsRowDxfId="58">
      <totalsRowFormula>SUM(D2:D6)</totalsRow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Tabla9" displayName="Tabla9" ref="E1:F7" totalsRowCount="1" headerRowDxfId="57" dataDxfId="55" totalsRowDxfId="53" headerRowBorderDxfId="56" tableBorderDxfId="54" totalsRowBorderDxfId="52">
  <autoFilter ref="E1:F6"/>
  <tableColumns count="2">
    <tableColumn id="1" name="MANZANA 3" dataDxfId="51" totalsRowDxfId="50"/>
    <tableColumn id="2" name="Columna1" totalsRowFunction="custom" dataDxfId="49" totalsRowDxfId="48">
      <totalsRowFormula>SUM(F2:F6)</totalsRow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id="11" name="Tabla11" displayName="Tabla11" ref="G1:H7" totalsRowCount="1" headerRowDxfId="47" dataDxfId="45" totalsRowDxfId="43" headerRowBorderDxfId="46" tableBorderDxfId="44" totalsRowBorderDxfId="42">
  <autoFilter ref="G1:H6"/>
  <tableColumns count="2">
    <tableColumn id="1" name="MANZANA 4" dataDxfId="41" totalsRowDxfId="40"/>
    <tableColumn id="2" name="Columna1" totalsRowFunction="custom" dataDxfId="39" totalsRowDxfId="38">
      <totalsRowFormula>SUM(H2:H6)</totalsRow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2" name="Tabla12" displayName="Tabla12" ref="I1:J7" totalsRowCount="1" headerRowDxfId="37" dataDxfId="35" totalsRowDxfId="33" headerRowBorderDxfId="36" tableBorderDxfId="34" totalsRowBorderDxfId="32">
  <autoFilter ref="I1:J6"/>
  <tableColumns count="2">
    <tableColumn id="1" name="MANZANA 5" dataDxfId="31" totalsRowDxfId="30"/>
    <tableColumn id="2" name="Columna1" totalsRowFunction="custom" dataDxfId="29" totalsRowDxfId="28">
      <totalsRowFormula>SUM(J2:J6)</totalsRowFormula>
    </tableColumn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id="13" name="Tabla13" displayName="Tabla13" ref="K1:L7" totalsRowCount="1" headerRowDxfId="27" dataDxfId="25" totalsRowDxfId="23" headerRowBorderDxfId="26" tableBorderDxfId="24" totalsRowBorderDxfId="22">
  <autoFilter ref="K1:L6"/>
  <tableColumns count="2">
    <tableColumn id="1" name="MANZANA 6" dataDxfId="21" totalsRowDxfId="20"/>
    <tableColumn id="2" name="Columna1" totalsRowFunction="custom" dataDxfId="19" totalsRowDxfId="18">
      <totalsRowFormula>SUM(L2:L6)</totalsRowFormula>
    </tableColumn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id="14" name="Tabla14" displayName="Tabla14" ref="A11:B17" totalsRowShown="0" headerRowDxfId="17" headerRowBorderDxfId="16" tableBorderDxfId="15" totalsRowBorderDxfId="14">
  <autoFilter ref="A11:B17"/>
  <tableColumns count="2">
    <tableColumn id="1" name="ESTADO" dataDxfId="13"/>
    <tableColumn id="2" name="TOTALES" dataDxfId="1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F28"/>
  <sheetViews>
    <sheetView zoomScaleNormal="100" workbookViewId="0">
      <pane ySplit="1" topLeftCell="A2" activePane="bottomLeft" state="frozen"/>
      <selection pane="bottomLeft" activeCell="F24" sqref="F24"/>
    </sheetView>
  </sheetViews>
  <sheetFormatPr baseColWidth="10" defaultRowHeight="15.75"/>
  <cols>
    <col min="1" max="1" width="41" style="1" customWidth="1"/>
    <col min="2" max="2" width="37.140625" style="1" customWidth="1"/>
    <col min="3" max="3" width="12.28515625" style="2" customWidth="1"/>
    <col min="4" max="4" width="29.42578125" style="2" customWidth="1"/>
    <col min="5" max="5" width="22.42578125" style="2" customWidth="1"/>
    <col min="6" max="6" width="40.5703125" style="24" customWidth="1"/>
    <col min="7" max="16384" width="11.42578125" style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4" t="s">
        <v>5</v>
      </c>
    </row>
    <row r="2" spans="1:6">
      <c r="A2" s="3" t="s">
        <v>64</v>
      </c>
      <c r="C2" s="2">
        <v>1</v>
      </c>
      <c r="D2" s="4" t="s">
        <v>408</v>
      </c>
      <c r="E2" s="2" t="s">
        <v>49</v>
      </c>
      <c r="F2" s="24" t="s">
        <v>483</v>
      </c>
    </row>
    <row r="3" spans="1:6">
      <c r="A3" s="3" t="s">
        <v>81</v>
      </c>
      <c r="C3" s="2">
        <v>2</v>
      </c>
      <c r="D3" s="4" t="s">
        <v>400</v>
      </c>
      <c r="E3" s="2" t="s">
        <v>41</v>
      </c>
      <c r="F3" s="24" t="s">
        <v>82</v>
      </c>
    </row>
    <row r="4" spans="1:6">
      <c r="A4" s="3" t="s">
        <v>83</v>
      </c>
      <c r="C4" s="2">
        <v>3</v>
      </c>
      <c r="D4" s="4" t="s">
        <v>401</v>
      </c>
      <c r="E4" s="2" t="s">
        <v>42</v>
      </c>
      <c r="F4" s="24" t="s">
        <v>572</v>
      </c>
    </row>
    <row r="5" spans="1:6">
      <c r="A5" s="3" t="s">
        <v>52</v>
      </c>
      <c r="B5" s="1" t="s">
        <v>591</v>
      </c>
      <c r="C5" s="2">
        <v>4</v>
      </c>
      <c r="D5" s="4" t="s">
        <v>65</v>
      </c>
      <c r="E5" s="2" t="s">
        <v>49</v>
      </c>
      <c r="F5" s="24" t="s">
        <v>500</v>
      </c>
    </row>
    <row r="6" spans="1:6">
      <c r="A6" s="3" t="s">
        <v>53</v>
      </c>
      <c r="B6" s="1" t="s">
        <v>503</v>
      </c>
      <c r="C6" s="2">
        <v>5</v>
      </c>
      <c r="D6" s="4" t="s">
        <v>66</v>
      </c>
      <c r="E6" s="2" t="s">
        <v>42</v>
      </c>
      <c r="F6" s="24" t="s">
        <v>78</v>
      </c>
    </row>
    <row r="7" spans="1:6">
      <c r="A7" s="3" t="s">
        <v>85</v>
      </c>
      <c r="B7" s="1" t="s">
        <v>504</v>
      </c>
      <c r="C7" s="2">
        <v>6</v>
      </c>
      <c r="D7" s="4" t="s">
        <v>402</v>
      </c>
      <c r="E7" s="2" t="s">
        <v>41</v>
      </c>
      <c r="F7" s="24" t="s">
        <v>86</v>
      </c>
    </row>
    <row r="8" spans="1:6">
      <c r="A8" s="3" t="s">
        <v>54</v>
      </c>
      <c r="B8" s="1" t="s">
        <v>505</v>
      </c>
      <c r="C8" s="2">
        <v>7</v>
      </c>
      <c r="D8" s="4" t="s">
        <v>68</v>
      </c>
      <c r="E8" s="2" t="s">
        <v>49</v>
      </c>
      <c r="F8" s="24" t="s">
        <v>500</v>
      </c>
    </row>
    <row r="9" spans="1:6">
      <c r="A9" s="3" t="s">
        <v>55</v>
      </c>
      <c r="C9" s="2">
        <v>8</v>
      </c>
      <c r="D9" s="4" t="s">
        <v>67</v>
      </c>
      <c r="E9" s="2" t="s">
        <v>49</v>
      </c>
      <c r="F9" s="24" t="s">
        <v>500</v>
      </c>
    </row>
    <row r="10" spans="1:6">
      <c r="A10" s="3" t="s">
        <v>56</v>
      </c>
      <c r="B10" s="1" t="s">
        <v>501</v>
      </c>
      <c r="C10" s="2">
        <v>9</v>
      </c>
      <c r="D10" s="4" t="s">
        <v>71</v>
      </c>
      <c r="E10" s="2" t="s">
        <v>49</v>
      </c>
      <c r="F10" s="24" t="s">
        <v>500</v>
      </c>
    </row>
    <row r="11" spans="1:6">
      <c r="A11" s="3" t="s">
        <v>57</v>
      </c>
      <c r="B11" s="1" t="s">
        <v>506</v>
      </c>
      <c r="C11" s="2">
        <v>10</v>
      </c>
      <c r="D11" s="4" t="s">
        <v>69</v>
      </c>
      <c r="E11" s="2" t="s">
        <v>49</v>
      </c>
      <c r="F11" s="24" t="s">
        <v>500</v>
      </c>
    </row>
    <row r="12" spans="1:6">
      <c r="A12" s="3" t="s">
        <v>58</v>
      </c>
      <c r="C12" s="2">
        <v>11</v>
      </c>
      <c r="D12" s="4" t="s">
        <v>72</v>
      </c>
      <c r="E12" s="2" t="s">
        <v>467</v>
      </c>
      <c r="F12" s="24" t="s">
        <v>79</v>
      </c>
    </row>
    <row r="13" spans="1:6">
      <c r="A13" s="3" t="s">
        <v>59</v>
      </c>
      <c r="B13" s="1" t="s">
        <v>507</v>
      </c>
      <c r="C13" s="2">
        <v>12</v>
      </c>
      <c r="D13" s="4" t="s">
        <v>70</v>
      </c>
      <c r="E13" s="2" t="s">
        <v>42</v>
      </c>
      <c r="F13" s="24" t="s">
        <v>496</v>
      </c>
    </row>
    <row r="14" spans="1:6">
      <c r="A14" s="3" t="s">
        <v>60</v>
      </c>
      <c r="B14" s="1" t="s">
        <v>508</v>
      </c>
      <c r="C14" s="2">
        <v>13</v>
      </c>
      <c r="D14" s="4" t="s">
        <v>74</v>
      </c>
      <c r="E14" s="2" t="s">
        <v>49</v>
      </c>
      <c r="F14" s="24" t="s">
        <v>500</v>
      </c>
    </row>
    <row r="15" spans="1:6">
      <c r="A15" s="14" t="s">
        <v>482</v>
      </c>
      <c r="C15" s="2">
        <v>14</v>
      </c>
      <c r="D15" s="4" t="s">
        <v>403</v>
      </c>
      <c r="E15" s="2" t="s">
        <v>42</v>
      </c>
      <c r="F15" s="24" t="s">
        <v>502</v>
      </c>
    </row>
    <row r="16" spans="1:6">
      <c r="A16" s="3" t="s">
        <v>61</v>
      </c>
      <c r="C16" s="2">
        <v>15</v>
      </c>
      <c r="D16" s="4" t="s">
        <v>73</v>
      </c>
      <c r="E16" s="2" t="s">
        <v>49</v>
      </c>
      <c r="F16" s="24" t="s">
        <v>500</v>
      </c>
    </row>
    <row r="17" spans="1:6">
      <c r="A17" s="3" t="s">
        <v>565</v>
      </c>
      <c r="B17" s="1" t="s">
        <v>509</v>
      </c>
      <c r="C17" s="2">
        <v>16</v>
      </c>
      <c r="D17" s="4" t="s">
        <v>404</v>
      </c>
      <c r="E17" s="2" t="s">
        <v>41</v>
      </c>
      <c r="F17" s="24" t="s">
        <v>86</v>
      </c>
    </row>
    <row r="18" spans="1:6">
      <c r="A18" s="3" t="s">
        <v>571</v>
      </c>
      <c r="C18" s="2">
        <v>17</v>
      </c>
      <c r="D18" s="4" t="s">
        <v>75</v>
      </c>
      <c r="E18" s="2" t="s">
        <v>49</v>
      </c>
      <c r="F18" s="24" t="s">
        <v>479</v>
      </c>
    </row>
    <row r="19" spans="1:6">
      <c r="A19" s="3" t="s">
        <v>62</v>
      </c>
      <c r="C19" s="2">
        <v>18</v>
      </c>
      <c r="D19" s="4" t="s">
        <v>77</v>
      </c>
      <c r="E19" s="2" t="s">
        <v>49</v>
      </c>
      <c r="F19" s="24" t="s">
        <v>500</v>
      </c>
    </row>
    <row r="20" spans="1:6">
      <c r="A20" s="3" t="s">
        <v>63</v>
      </c>
      <c r="B20" s="1" t="s">
        <v>510</v>
      </c>
      <c r="C20" s="2">
        <v>19</v>
      </c>
      <c r="D20" s="4" t="s">
        <v>76</v>
      </c>
      <c r="E20" s="2" t="s">
        <v>49</v>
      </c>
      <c r="F20" s="24" t="s">
        <v>500</v>
      </c>
    </row>
    <row r="21" spans="1:6">
      <c r="A21" s="3" t="s">
        <v>566</v>
      </c>
      <c r="B21" s="1" t="s">
        <v>511</v>
      </c>
      <c r="C21" s="2">
        <v>20</v>
      </c>
      <c r="D21" s="4" t="s">
        <v>405</v>
      </c>
      <c r="E21" s="2" t="s">
        <v>41</v>
      </c>
      <c r="F21" s="24" t="s">
        <v>86</v>
      </c>
    </row>
    <row r="22" spans="1:6">
      <c r="A22" s="3" t="s">
        <v>567</v>
      </c>
      <c r="C22" s="2">
        <v>21</v>
      </c>
      <c r="D22" s="4" t="s">
        <v>406</v>
      </c>
      <c r="E22" s="2" t="s">
        <v>49</v>
      </c>
      <c r="F22" s="24" t="s">
        <v>479</v>
      </c>
    </row>
    <row r="23" spans="1:6">
      <c r="A23" s="3" t="s">
        <v>80</v>
      </c>
      <c r="C23" s="2">
        <v>22</v>
      </c>
      <c r="D23" s="4" t="s">
        <v>409</v>
      </c>
      <c r="E23" s="2" t="s">
        <v>49</v>
      </c>
      <c r="F23" s="24" t="s">
        <v>500</v>
      </c>
    </row>
    <row r="24" spans="1:6">
      <c r="A24" s="3" t="s">
        <v>568</v>
      </c>
      <c r="C24" s="2">
        <v>23</v>
      </c>
      <c r="D24" s="4" t="s">
        <v>410</v>
      </c>
      <c r="E24" s="2" t="s">
        <v>41</v>
      </c>
      <c r="F24" s="24" t="s">
        <v>84</v>
      </c>
    </row>
    <row r="25" spans="1:6">
      <c r="A25" s="3" t="s">
        <v>498</v>
      </c>
      <c r="B25" s="1" t="s">
        <v>512</v>
      </c>
      <c r="C25" s="2">
        <v>24</v>
      </c>
      <c r="D25" s="4" t="s">
        <v>407</v>
      </c>
      <c r="E25" s="2" t="s">
        <v>49</v>
      </c>
      <c r="F25" s="24" t="s">
        <v>497</v>
      </c>
    </row>
    <row r="26" spans="1:6">
      <c r="A26" s="3" t="s">
        <v>569</v>
      </c>
      <c r="B26" s="1" t="s">
        <v>513</v>
      </c>
      <c r="C26" s="2">
        <v>25</v>
      </c>
      <c r="D26" s="4" t="s">
        <v>412</v>
      </c>
      <c r="E26" s="2" t="s">
        <v>43</v>
      </c>
      <c r="F26" s="24" t="s">
        <v>87</v>
      </c>
    </row>
    <row r="27" spans="1:6">
      <c r="A27" s="3" t="s">
        <v>570</v>
      </c>
      <c r="B27" s="1" t="s">
        <v>514</v>
      </c>
      <c r="C27" s="2">
        <v>26</v>
      </c>
      <c r="D27" s="4" t="s">
        <v>411</v>
      </c>
      <c r="E27" s="2" t="s">
        <v>41</v>
      </c>
      <c r="F27" s="24" t="s">
        <v>86</v>
      </c>
    </row>
    <row r="28" spans="1:6">
      <c r="A28" s="5" t="s">
        <v>50</v>
      </c>
      <c r="B28" s="6"/>
      <c r="C28" s="7"/>
      <c r="D28" s="8"/>
      <c r="E28" s="7">
        <f>SUBTOTAL(103,[ESTADO])</f>
        <v>26</v>
      </c>
      <c r="F28" s="25"/>
    </row>
  </sheetData>
  <pageMargins left="0.7" right="0.7" top="0.75" bottom="0.75" header="0.3" footer="0.3"/>
  <pageSetup paperSize="9" scale="73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F28"/>
  <sheetViews>
    <sheetView zoomScaleNormal="100" workbookViewId="0">
      <pane ySplit="1" topLeftCell="A2" activePane="bottomLeft" state="frozen"/>
      <selection pane="bottomLeft" activeCell="F8" sqref="F8"/>
    </sheetView>
  </sheetViews>
  <sheetFormatPr baseColWidth="10" defaultColWidth="34.28515625" defaultRowHeight="15.75"/>
  <cols>
    <col min="1" max="1" width="45.5703125" style="11" customWidth="1"/>
    <col min="2" max="2" width="37.85546875" style="11" customWidth="1"/>
    <col min="3" max="3" width="11" style="7" bestFit="1" customWidth="1"/>
    <col min="4" max="4" width="24.28515625" style="11" customWidth="1"/>
    <col min="5" max="5" width="21.85546875" style="7" customWidth="1"/>
    <col min="6" max="6" width="39.140625" style="25" customWidth="1"/>
    <col min="7" max="16384" width="34.28515625" style="11"/>
  </cols>
  <sheetData>
    <row r="1" spans="1:6">
      <c r="A1" s="9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16" t="s">
        <v>5</v>
      </c>
    </row>
    <row r="2" spans="1:6">
      <c r="A2" s="9" t="s">
        <v>6</v>
      </c>
      <c r="B2" s="9" t="s">
        <v>515</v>
      </c>
      <c r="C2" s="10">
        <v>1</v>
      </c>
      <c r="D2" s="12" t="s">
        <v>22</v>
      </c>
      <c r="E2" s="10" t="s">
        <v>49</v>
      </c>
      <c r="F2" s="16" t="s">
        <v>500</v>
      </c>
    </row>
    <row r="3" spans="1:6">
      <c r="A3" s="13" t="s">
        <v>7</v>
      </c>
      <c r="B3" s="9" t="s">
        <v>516</v>
      </c>
      <c r="C3" s="10">
        <v>2</v>
      </c>
      <c r="D3" s="12" t="s">
        <v>23</v>
      </c>
      <c r="E3" s="10" t="s">
        <v>49</v>
      </c>
      <c r="F3" s="16" t="s">
        <v>483</v>
      </c>
    </row>
    <row r="4" spans="1:6">
      <c r="A4" s="13" t="s">
        <v>8</v>
      </c>
      <c r="B4" s="9" t="s">
        <v>517</v>
      </c>
      <c r="C4" s="10">
        <v>3</v>
      </c>
      <c r="D4" s="12" t="s">
        <v>24</v>
      </c>
      <c r="E4" s="10" t="s">
        <v>49</v>
      </c>
      <c r="F4" s="16" t="s">
        <v>500</v>
      </c>
    </row>
    <row r="5" spans="1:6" ht="31.5">
      <c r="A5" s="13" t="s">
        <v>21</v>
      </c>
      <c r="B5" s="9" t="s">
        <v>518</v>
      </c>
      <c r="C5" s="10">
        <v>4</v>
      </c>
      <c r="D5" s="12" t="s">
        <v>38</v>
      </c>
      <c r="E5" s="10" t="s">
        <v>42</v>
      </c>
      <c r="F5" s="16" t="s">
        <v>494</v>
      </c>
    </row>
    <row r="6" spans="1:6" s="6" customFormat="1" ht="27.75" customHeight="1">
      <c r="A6" s="13" t="s">
        <v>490</v>
      </c>
      <c r="B6" s="9"/>
      <c r="C6" s="10">
        <v>5</v>
      </c>
      <c r="D6" s="12" t="s">
        <v>25</v>
      </c>
      <c r="E6" s="10" t="s">
        <v>49</v>
      </c>
      <c r="F6" s="16" t="s">
        <v>488</v>
      </c>
    </row>
    <row r="7" spans="1:6">
      <c r="A7" s="14" t="s">
        <v>40</v>
      </c>
      <c r="B7" s="15"/>
      <c r="C7" s="10">
        <v>6</v>
      </c>
      <c r="D7" s="4" t="s">
        <v>26</v>
      </c>
      <c r="E7" s="10" t="s">
        <v>49</v>
      </c>
      <c r="F7" s="16" t="s">
        <v>500</v>
      </c>
    </row>
    <row r="8" spans="1:6">
      <c r="A8" s="13" t="s">
        <v>9</v>
      </c>
      <c r="B8" s="9"/>
      <c r="C8" s="10">
        <v>7</v>
      </c>
      <c r="D8" s="12" t="s">
        <v>27</v>
      </c>
      <c r="E8" s="10" t="s">
        <v>49</v>
      </c>
      <c r="F8" s="16" t="s">
        <v>499</v>
      </c>
    </row>
    <row r="9" spans="1:6" ht="31.5">
      <c r="A9" s="9" t="s">
        <v>579</v>
      </c>
      <c r="B9" s="9" t="s">
        <v>519</v>
      </c>
      <c r="C9" s="10">
        <v>8</v>
      </c>
      <c r="D9" s="12" t="s">
        <v>413</v>
      </c>
      <c r="E9" s="10" t="s">
        <v>41</v>
      </c>
      <c r="F9" s="16" t="s">
        <v>51</v>
      </c>
    </row>
    <row r="10" spans="1:6">
      <c r="A10" s="13" t="s">
        <v>10</v>
      </c>
      <c r="B10" s="9"/>
      <c r="C10" s="10">
        <v>9</v>
      </c>
      <c r="D10" s="12" t="s">
        <v>28</v>
      </c>
      <c r="E10" s="10" t="s">
        <v>49</v>
      </c>
      <c r="F10" s="16" t="s">
        <v>500</v>
      </c>
    </row>
    <row r="11" spans="1:6">
      <c r="A11" s="9" t="s">
        <v>576</v>
      </c>
      <c r="B11" s="9"/>
      <c r="C11" s="10">
        <v>10</v>
      </c>
      <c r="D11" s="12" t="s">
        <v>414</v>
      </c>
      <c r="E11" s="10" t="s">
        <v>49</v>
      </c>
      <c r="F11" s="16" t="s">
        <v>495</v>
      </c>
    </row>
    <row r="12" spans="1:6">
      <c r="A12" s="13" t="s">
        <v>11</v>
      </c>
      <c r="B12" s="9"/>
      <c r="C12" s="10">
        <v>11</v>
      </c>
      <c r="D12" s="12" t="s">
        <v>29</v>
      </c>
      <c r="E12" s="10" t="s">
        <v>49</v>
      </c>
      <c r="F12" s="16" t="s">
        <v>500</v>
      </c>
    </row>
    <row r="13" spans="1:6">
      <c r="A13" s="13" t="s">
        <v>12</v>
      </c>
      <c r="B13" s="9" t="s">
        <v>520</v>
      </c>
      <c r="C13" s="10">
        <v>12</v>
      </c>
      <c r="D13" s="12" t="s">
        <v>39</v>
      </c>
      <c r="E13" s="10" t="s">
        <v>49</v>
      </c>
      <c r="F13" s="16" t="s">
        <v>488</v>
      </c>
    </row>
    <row r="14" spans="1:6">
      <c r="A14" s="9" t="s">
        <v>577</v>
      </c>
      <c r="B14" s="9"/>
      <c r="C14" s="10">
        <v>13</v>
      </c>
      <c r="D14" s="12" t="s">
        <v>415</v>
      </c>
      <c r="E14" s="10" t="s">
        <v>41</v>
      </c>
      <c r="F14" s="16"/>
    </row>
    <row r="15" spans="1:6">
      <c r="A15" s="13" t="s">
        <v>13</v>
      </c>
      <c r="B15" s="9"/>
      <c r="C15" s="10">
        <v>14</v>
      </c>
      <c r="D15" s="12" t="s">
        <v>30</v>
      </c>
      <c r="E15" s="10" t="s">
        <v>49</v>
      </c>
      <c r="F15" s="16"/>
    </row>
    <row r="16" spans="1:6">
      <c r="A16" s="13" t="s">
        <v>14</v>
      </c>
      <c r="B16" s="9" t="s">
        <v>521</v>
      </c>
      <c r="C16" s="10">
        <v>15</v>
      </c>
      <c r="D16" s="12" t="s">
        <v>31</v>
      </c>
      <c r="E16" s="10" t="s">
        <v>49</v>
      </c>
      <c r="F16" s="16" t="s">
        <v>500</v>
      </c>
    </row>
    <row r="17" spans="1:6">
      <c r="A17" s="9" t="s">
        <v>578</v>
      </c>
      <c r="B17" s="9" t="s">
        <v>522</v>
      </c>
      <c r="C17" s="10">
        <v>16</v>
      </c>
      <c r="D17" s="12" t="s">
        <v>416</v>
      </c>
      <c r="E17" s="10" t="s">
        <v>41</v>
      </c>
      <c r="F17" s="16"/>
    </row>
    <row r="18" spans="1:6">
      <c r="A18" s="9" t="s">
        <v>44</v>
      </c>
      <c r="B18" s="9"/>
      <c r="C18" s="10">
        <v>17</v>
      </c>
      <c r="D18" s="12" t="s">
        <v>417</v>
      </c>
      <c r="E18" s="10" t="s">
        <v>43</v>
      </c>
      <c r="F18" s="16" t="s">
        <v>45</v>
      </c>
    </row>
    <row r="19" spans="1:6">
      <c r="A19" s="13" t="s">
        <v>15</v>
      </c>
      <c r="B19" s="9" t="s">
        <v>523</v>
      </c>
      <c r="C19" s="10">
        <v>18</v>
      </c>
      <c r="D19" s="12" t="s">
        <v>32</v>
      </c>
      <c r="E19" s="10" t="s">
        <v>49</v>
      </c>
      <c r="F19" s="16" t="s">
        <v>500</v>
      </c>
    </row>
    <row r="20" spans="1:6">
      <c r="A20" s="9" t="s">
        <v>46</v>
      </c>
      <c r="B20" s="9"/>
      <c r="C20" s="10">
        <v>19</v>
      </c>
      <c r="D20" s="12" t="s">
        <v>418</v>
      </c>
      <c r="E20" s="10" t="s">
        <v>43</v>
      </c>
      <c r="F20" s="16" t="s">
        <v>45</v>
      </c>
    </row>
    <row r="21" spans="1:6">
      <c r="A21" s="13" t="s">
        <v>16</v>
      </c>
      <c r="B21" s="9" t="s">
        <v>524</v>
      </c>
      <c r="C21" s="10">
        <v>20</v>
      </c>
      <c r="D21" s="12" t="s">
        <v>33</v>
      </c>
      <c r="E21" s="10" t="s">
        <v>49</v>
      </c>
      <c r="F21" s="16" t="s">
        <v>500</v>
      </c>
    </row>
    <row r="22" spans="1:6">
      <c r="A22" s="13" t="s">
        <v>17</v>
      </c>
      <c r="B22" s="9"/>
      <c r="C22" s="10">
        <v>21</v>
      </c>
      <c r="D22" s="12" t="s">
        <v>35</v>
      </c>
      <c r="E22" s="10" t="s">
        <v>49</v>
      </c>
      <c r="F22" s="16" t="s">
        <v>488</v>
      </c>
    </row>
    <row r="23" spans="1:6">
      <c r="A23" s="9"/>
      <c r="B23" s="9"/>
      <c r="C23" s="10">
        <v>22</v>
      </c>
      <c r="D23" s="12" t="s">
        <v>419</v>
      </c>
      <c r="E23" s="10" t="s">
        <v>43</v>
      </c>
      <c r="F23" s="16" t="s">
        <v>47</v>
      </c>
    </row>
    <row r="24" spans="1:6">
      <c r="A24" s="13" t="s">
        <v>18</v>
      </c>
      <c r="B24" s="9"/>
      <c r="C24" s="10">
        <v>23</v>
      </c>
      <c r="D24" s="12" t="s">
        <v>34</v>
      </c>
      <c r="E24" s="10" t="s">
        <v>49</v>
      </c>
      <c r="F24" s="16" t="s">
        <v>483</v>
      </c>
    </row>
    <row r="25" spans="1:6">
      <c r="A25" s="9" t="s">
        <v>48</v>
      </c>
      <c r="B25" s="9"/>
      <c r="C25" s="10">
        <v>24</v>
      </c>
      <c r="D25" s="12" t="s">
        <v>420</v>
      </c>
      <c r="E25" s="10" t="s">
        <v>43</v>
      </c>
      <c r="F25" s="16" t="s">
        <v>45</v>
      </c>
    </row>
    <row r="26" spans="1:6">
      <c r="A26" s="13" t="s">
        <v>19</v>
      </c>
      <c r="B26" s="9" t="s">
        <v>525</v>
      </c>
      <c r="C26" s="10">
        <v>25</v>
      </c>
      <c r="D26" s="12" t="s">
        <v>36</v>
      </c>
      <c r="E26" s="10" t="s">
        <v>49</v>
      </c>
      <c r="F26" s="16" t="s">
        <v>500</v>
      </c>
    </row>
    <row r="27" spans="1:6">
      <c r="A27" s="13" t="s">
        <v>20</v>
      </c>
      <c r="B27" s="9"/>
      <c r="C27" s="10">
        <v>26</v>
      </c>
      <c r="D27" s="12" t="s">
        <v>37</v>
      </c>
      <c r="E27" s="10" t="s">
        <v>49</v>
      </c>
      <c r="F27" s="16" t="s">
        <v>500</v>
      </c>
    </row>
    <row r="28" spans="1:6">
      <c r="A28" s="17" t="s">
        <v>50</v>
      </c>
      <c r="B28" s="17"/>
      <c r="C28" s="18"/>
      <c r="D28" s="19"/>
      <c r="E28" s="18">
        <f>SUBTOTAL(103,[ESTADO])</f>
        <v>26</v>
      </c>
      <c r="F28" s="76"/>
    </row>
  </sheetData>
  <pageMargins left="0.7" right="0.7" top="0.75" bottom="0.75" header="0.3" footer="0.3"/>
  <pageSetup paperSize="9" scale="48" fitToWidth="0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30A0"/>
  </sheetPr>
  <dimension ref="A1:F6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5.75"/>
  <cols>
    <col min="1" max="1" width="44.7109375" style="1" customWidth="1"/>
    <col min="2" max="2" width="37.140625" style="20" customWidth="1"/>
    <col min="3" max="3" width="11.42578125" style="7"/>
    <col min="4" max="4" width="29.42578125" style="10" customWidth="1"/>
    <col min="5" max="5" width="17.85546875" style="7" customWidth="1"/>
    <col min="6" max="6" width="39" style="25" customWidth="1"/>
    <col min="7" max="16384" width="11.42578125" style="6"/>
  </cols>
  <sheetData>
    <row r="1" spans="1:6">
      <c r="A1" s="1" t="s">
        <v>0</v>
      </c>
      <c r="B1" s="20" t="s">
        <v>1</v>
      </c>
      <c r="C1" s="7" t="s">
        <v>2</v>
      </c>
      <c r="D1" s="10" t="s">
        <v>3</v>
      </c>
      <c r="E1" s="7" t="s">
        <v>4</v>
      </c>
      <c r="F1" s="25" t="s">
        <v>5</v>
      </c>
    </row>
    <row r="2" spans="1:6">
      <c r="A2" s="3" t="s">
        <v>171</v>
      </c>
      <c r="B2" s="21"/>
      <c r="C2" s="2">
        <v>1</v>
      </c>
      <c r="D2" s="4" t="s">
        <v>172</v>
      </c>
      <c r="E2" s="2" t="s">
        <v>41</v>
      </c>
      <c r="F2" s="24" t="s">
        <v>86</v>
      </c>
    </row>
    <row r="3" spans="1:6">
      <c r="A3" s="3" t="s">
        <v>173</v>
      </c>
      <c r="B3" s="21"/>
      <c r="C3" s="2">
        <v>2</v>
      </c>
      <c r="D3" s="4" t="s">
        <v>174</v>
      </c>
      <c r="E3" s="2" t="s">
        <v>41</v>
      </c>
      <c r="F3" s="24" t="s">
        <v>240</v>
      </c>
    </row>
    <row r="4" spans="1:6">
      <c r="A4" s="22" t="s">
        <v>104</v>
      </c>
      <c r="C4" s="7">
        <v>3</v>
      </c>
      <c r="D4" s="4" t="s">
        <v>466</v>
      </c>
      <c r="E4" s="7" t="s">
        <v>49</v>
      </c>
      <c r="F4" s="25" t="s">
        <v>500</v>
      </c>
    </row>
    <row r="5" spans="1:6">
      <c r="A5" s="3" t="s">
        <v>175</v>
      </c>
      <c r="B5" s="21"/>
      <c r="C5" s="2">
        <v>4</v>
      </c>
      <c r="D5" s="4" t="s">
        <v>176</v>
      </c>
      <c r="E5" s="2" t="s">
        <v>41</v>
      </c>
      <c r="F5" s="24" t="s">
        <v>84</v>
      </c>
    </row>
    <row r="6" spans="1:6">
      <c r="A6" s="3" t="s">
        <v>99</v>
      </c>
      <c r="B6" s="23" t="s">
        <v>526</v>
      </c>
      <c r="C6" s="7">
        <v>5</v>
      </c>
      <c r="D6" s="4" t="s">
        <v>162</v>
      </c>
      <c r="E6" s="7" t="s">
        <v>49</v>
      </c>
      <c r="F6" s="25" t="s">
        <v>488</v>
      </c>
    </row>
    <row r="7" spans="1:6">
      <c r="A7" s="3" t="s">
        <v>100</v>
      </c>
      <c r="C7" s="7">
        <v>6</v>
      </c>
      <c r="D7" s="4" t="s">
        <v>163</v>
      </c>
      <c r="E7" s="7" t="s">
        <v>49</v>
      </c>
    </row>
    <row r="8" spans="1:6">
      <c r="A8" s="3" t="s">
        <v>179</v>
      </c>
      <c r="B8" s="21"/>
      <c r="C8" s="2">
        <v>7</v>
      </c>
      <c r="D8" s="4" t="s">
        <v>177</v>
      </c>
      <c r="E8" s="2" t="s">
        <v>41</v>
      </c>
      <c r="F8" s="24" t="s">
        <v>241</v>
      </c>
    </row>
    <row r="9" spans="1:6">
      <c r="A9" s="3" t="s">
        <v>180</v>
      </c>
      <c r="B9" s="21"/>
      <c r="C9" s="2">
        <v>8</v>
      </c>
      <c r="D9" s="4" t="s">
        <v>178</v>
      </c>
      <c r="E9" s="2" t="s">
        <v>41</v>
      </c>
      <c r="F9" s="24" t="s">
        <v>242</v>
      </c>
    </row>
    <row r="10" spans="1:6">
      <c r="A10" s="3" t="s">
        <v>111</v>
      </c>
      <c r="B10" s="20" t="s">
        <v>527</v>
      </c>
      <c r="C10" s="7">
        <v>9</v>
      </c>
      <c r="D10" s="4" t="s">
        <v>168</v>
      </c>
      <c r="E10" s="7" t="s">
        <v>49</v>
      </c>
      <c r="F10" s="25" t="s">
        <v>500</v>
      </c>
    </row>
    <row r="11" spans="1:6">
      <c r="A11" s="3" t="s">
        <v>121</v>
      </c>
      <c r="C11" s="7">
        <v>10</v>
      </c>
      <c r="D11" s="4" t="s">
        <v>421</v>
      </c>
      <c r="E11" s="7" t="s">
        <v>49</v>
      </c>
      <c r="F11" s="25" t="s">
        <v>488</v>
      </c>
    </row>
    <row r="12" spans="1:6">
      <c r="A12" s="3" t="s">
        <v>105</v>
      </c>
      <c r="C12" s="7">
        <v>11</v>
      </c>
      <c r="D12" s="4" t="s">
        <v>165</v>
      </c>
      <c r="E12" s="7" t="s">
        <v>49</v>
      </c>
      <c r="F12" s="25" t="s">
        <v>500</v>
      </c>
    </row>
    <row r="13" spans="1:6">
      <c r="A13" s="3" t="s">
        <v>107</v>
      </c>
      <c r="B13" s="20" t="s">
        <v>529</v>
      </c>
      <c r="C13" s="7">
        <v>12</v>
      </c>
      <c r="D13" s="4" t="s">
        <v>422</v>
      </c>
      <c r="E13" s="7" t="s">
        <v>49</v>
      </c>
      <c r="F13" s="25" t="s">
        <v>488</v>
      </c>
    </row>
    <row r="14" spans="1:6">
      <c r="A14" s="3" t="s">
        <v>170</v>
      </c>
      <c r="B14" s="20" t="s">
        <v>528</v>
      </c>
      <c r="C14" s="7">
        <v>13</v>
      </c>
      <c r="D14" s="4" t="s">
        <v>423</v>
      </c>
      <c r="E14" s="7" t="s">
        <v>49</v>
      </c>
      <c r="F14" s="25" t="s">
        <v>500</v>
      </c>
    </row>
    <row r="15" spans="1:6">
      <c r="A15" s="22" t="s">
        <v>593</v>
      </c>
      <c r="C15" s="7">
        <v>14</v>
      </c>
      <c r="D15" s="4" t="s">
        <v>141</v>
      </c>
      <c r="E15" s="7" t="s">
        <v>49</v>
      </c>
      <c r="F15" s="25" t="s">
        <v>500</v>
      </c>
    </row>
    <row r="16" spans="1:6">
      <c r="A16" s="3" t="s">
        <v>478</v>
      </c>
      <c r="B16" s="21" t="s">
        <v>182</v>
      </c>
      <c r="C16" s="2">
        <v>15</v>
      </c>
      <c r="D16" s="4" t="s">
        <v>181</v>
      </c>
      <c r="E16" s="2" t="s">
        <v>42</v>
      </c>
      <c r="F16" s="24" t="s">
        <v>479</v>
      </c>
    </row>
    <row r="17" spans="1:6">
      <c r="A17" s="3" t="s">
        <v>123</v>
      </c>
      <c r="C17" s="7">
        <v>16</v>
      </c>
      <c r="D17" s="4" t="s">
        <v>157</v>
      </c>
      <c r="E17" s="7" t="s">
        <v>49</v>
      </c>
      <c r="F17" s="25" t="s">
        <v>483</v>
      </c>
    </row>
    <row r="18" spans="1:6">
      <c r="A18" s="3" t="s">
        <v>184</v>
      </c>
      <c r="B18" s="21"/>
      <c r="C18" s="2">
        <v>17</v>
      </c>
      <c r="D18" s="4" t="s">
        <v>183</v>
      </c>
      <c r="E18" s="2" t="s">
        <v>41</v>
      </c>
      <c r="F18" s="24" t="s">
        <v>86</v>
      </c>
    </row>
    <row r="19" spans="1:6">
      <c r="A19" s="3" t="s">
        <v>186</v>
      </c>
      <c r="B19" s="21" t="s">
        <v>187</v>
      </c>
      <c r="C19" s="2">
        <v>18</v>
      </c>
      <c r="D19" s="4" t="s">
        <v>185</v>
      </c>
      <c r="E19" s="2" t="s">
        <v>41</v>
      </c>
      <c r="F19" s="24" t="s">
        <v>243</v>
      </c>
    </row>
    <row r="20" spans="1:6">
      <c r="A20" s="3" t="s">
        <v>112</v>
      </c>
      <c r="B20" s="20" t="s">
        <v>113</v>
      </c>
      <c r="C20" s="7">
        <v>19</v>
      </c>
      <c r="D20" s="4" t="s">
        <v>147</v>
      </c>
      <c r="E20" s="7" t="s">
        <v>49</v>
      </c>
      <c r="F20" s="25" t="s">
        <v>488</v>
      </c>
    </row>
    <row r="21" spans="1:6">
      <c r="A21" s="3" t="s">
        <v>113</v>
      </c>
      <c r="C21" s="7">
        <v>20</v>
      </c>
      <c r="D21" s="4" t="s">
        <v>146</v>
      </c>
      <c r="E21" s="7" t="s">
        <v>49</v>
      </c>
      <c r="F21" s="25" t="s">
        <v>500</v>
      </c>
    </row>
    <row r="22" spans="1:6">
      <c r="A22" s="3" t="s">
        <v>110</v>
      </c>
      <c r="C22" s="7">
        <v>21</v>
      </c>
      <c r="D22" s="4" t="s">
        <v>145</v>
      </c>
      <c r="E22" s="7" t="s">
        <v>49</v>
      </c>
      <c r="F22" s="25" t="s">
        <v>488</v>
      </c>
    </row>
    <row r="23" spans="1:6">
      <c r="A23" s="3" t="s">
        <v>188</v>
      </c>
      <c r="B23" s="21"/>
      <c r="C23" s="2">
        <v>22</v>
      </c>
      <c r="D23" s="4" t="s">
        <v>424</v>
      </c>
      <c r="E23" s="2" t="s">
        <v>41</v>
      </c>
      <c r="F23" s="24" t="s">
        <v>86</v>
      </c>
    </row>
    <row r="24" spans="1:6" ht="31.5">
      <c r="A24" s="3" t="s">
        <v>189</v>
      </c>
      <c r="B24" s="21"/>
      <c r="C24" s="2">
        <v>23</v>
      </c>
      <c r="D24" s="4" t="s">
        <v>425</v>
      </c>
      <c r="E24" s="10" t="s">
        <v>41</v>
      </c>
      <c r="F24" s="24" t="s">
        <v>201</v>
      </c>
    </row>
    <row r="25" spans="1:6">
      <c r="A25" s="3" t="s">
        <v>114</v>
      </c>
      <c r="C25" s="7">
        <v>24</v>
      </c>
      <c r="D25" s="4" t="s">
        <v>426</v>
      </c>
      <c r="E25" s="7" t="s">
        <v>49</v>
      </c>
      <c r="F25" s="25" t="s">
        <v>488</v>
      </c>
    </row>
    <row r="26" spans="1:6">
      <c r="A26" s="3" t="s">
        <v>115</v>
      </c>
      <c r="B26" s="20" t="s">
        <v>530</v>
      </c>
      <c r="C26" s="7">
        <v>25</v>
      </c>
      <c r="D26" s="4" t="s">
        <v>152</v>
      </c>
      <c r="E26" s="7" t="s">
        <v>49</v>
      </c>
      <c r="F26" s="25" t="s">
        <v>488</v>
      </c>
    </row>
    <row r="27" spans="1:6" ht="35.25" customHeight="1">
      <c r="A27" s="3" t="s">
        <v>116</v>
      </c>
      <c r="B27" s="20" t="s">
        <v>531</v>
      </c>
      <c r="C27" s="7">
        <v>26</v>
      </c>
      <c r="D27" s="4" t="s">
        <v>151</v>
      </c>
      <c r="E27" s="7" t="s">
        <v>49</v>
      </c>
      <c r="F27" s="25" t="s">
        <v>488</v>
      </c>
    </row>
    <row r="28" spans="1:6">
      <c r="A28" s="3" t="s">
        <v>491</v>
      </c>
      <c r="B28" s="20" t="s">
        <v>532</v>
      </c>
      <c r="C28" s="7">
        <v>27</v>
      </c>
      <c r="D28" s="4" t="s">
        <v>150</v>
      </c>
      <c r="E28" s="7" t="s">
        <v>49</v>
      </c>
      <c r="F28" s="25" t="s">
        <v>488</v>
      </c>
    </row>
    <row r="29" spans="1:6">
      <c r="A29" s="3" t="s">
        <v>492</v>
      </c>
      <c r="C29" s="7">
        <v>28</v>
      </c>
      <c r="D29" s="4" t="s">
        <v>155</v>
      </c>
      <c r="E29" s="7" t="s">
        <v>49</v>
      </c>
      <c r="F29" s="25" t="s">
        <v>488</v>
      </c>
    </row>
    <row r="30" spans="1:6">
      <c r="A30" s="3" t="s">
        <v>191</v>
      </c>
      <c r="B30" s="21" t="s">
        <v>192</v>
      </c>
      <c r="C30" s="2">
        <v>29</v>
      </c>
      <c r="D30" s="4" t="s">
        <v>190</v>
      </c>
      <c r="E30" s="2" t="s">
        <v>41</v>
      </c>
      <c r="F30" s="24" t="s">
        <v>84</v>
      </c>
    </row>
    <row r="31" spans="1:6">
      <c r="A31" s="22" t="s">
        <v>117</v>
      </c>
      <c r="B31" s="20" t="s">
        <v>533</v>
      </c>
      <c r="C31" s="7">
        <v>30</v>
      </c>
      <c r="D31" s="4" t="s">
        <v>149</v>
      </c>
      <c r="E31" s="7" t="s">
        <v>49</v>
      </c>
      <c r="F31" s="25" t="s">
        <v>480</v>
      </c>
    </row>
    <row r="32" spans="1:6">
      <c r="A32" s="3" t="s">
        <v>118</v>
      </c>
      <c r="C32" s="7">
        <v>31</v>
      </c>
      <c r="D32" s="4" t="s">
        <v>148</v>
      </c>
      <c r="E32" s="7" t="s">
        <v>467</v>
      </c>
      <c r="F32" s="25" t="s">
        <v>169</v>
      </c>
    </row>
    <row r="33" spans="1:6">
      <c r="A33" s="3" t="s">
        <v>590</v>
      </c>
      <c r="C33" s="7">
        <v>32</v>
      </c>
      <c r="D33" s="4" t="s">
        <v>154</v>
      </c>
      <c r="E33" s="7" t="s">
        <v>49</v>
      </c>
      <c r="F33" s="25" t="s">
        <v>488</v>
      </c>
    </row>
    <row r="34" spans="1:6">
      <c r="A34" s="14" t="s">
        <v>94</v>
      </c>
      <c r="C34" s="7">
        <v>33</v>
      </c>
      <c r="D34" s="4" t="s">
        <v>130</v>
      </c>
      <c r="E34" s="7" t="s">
        <v>467</v>
      </c>
      <c r="F34" s="25" t="s">
        <v>159</v>
      </c>
    </row>
    <row r="35" spans="1:6">
      <c r="A35" s="3" t="s">
        <v>95</v>
      </c>
      <c r="C35" s="7">
        <v>34</v>
      </c>
      <c r="D35" s="4" t="s">
        <v>131</v>
      </c>
      <c r="E35" s="7" t="s">
        <v>49</v>
      </c>
      <c r="F35" s="25" t="s">
        <v>483</v>
      </c>
    </row>
    <row r="36" spans="1:6" ht="31.5">
      <c r="A36" s="3" t="s">
        <v>226</v>
      </c>
      <c r="B36" s="20" t="s">
        <v>534</v>
      </c>
      <c r="C36" s="7">
        <v>35</v>
      </c>
      <c r="D36" s="4" t="s">
        <v>132</v>
      </c>
      <c r="E36" s="7" t="s">
        <v>49</v>
      </c>
      <c r="F36" s="25" t="s">
        <v>589</v>
      </c>
    </row>
    <row r="37" spans="1:6">
      <c r="A37" s="3" t="s">
        <v>96</v>
      </c>
      <c r="C37" s="7">
        <v>36</v>
      </c>
      <c r="D37" s="4" t="s">
        <v>135</v>
      </c>
      <c r="E37" s="7" t="s">
        <v>49</v>
      </c>
      <c r="F37" s="25" t="s">
        <v>500</v>
      </c>
    </row>
    <row r="38" spans="1:6">
      <c r="A38" s="3" t="s">
        <v>194</v>
      </c>
      <c r="B38" s="21"/>
      <c r="C38" s="2">
        <v>37</v>
      </c>
      <c r="D38" s="4" t="s">
        <v>193</v>
      </c>
      <c r="E38" s="2" t="s">
        <v>41</v>
      </c>
      <c r="F38" s="24" t="s">
        <v>84</v>
      </c>
    </row>
    <row r="39" spans="1:6">
      <c r="A39" s="3" t="s">
        <v>119</v>
      </c>
      <c r="B39" s="20" t="s">
        <v>493</v>
      </c>
      <c r="C39" s="7">
        <v>38</v>
      </c>
      <c r="D39" s="4" t="s">
        <v>153</v>
      </c>
      <c r="E39" s="7" t="s">
        <v>49</v>
      </c>
      <c r="F39" s="25" t="s">
        <v>488</v>
      </c>
    </row>
    <row r="40" spans="1:6">
      <c r="A40" s="3" t="s">
        <v>97</v>
      </c>
      <c r="B40" s="20" t="s">
        <v>535</v>
      </c>
      <c r="C40" s="7">
        <v>39</v>
      </c>
      <c r="D40" s="4" t="s">
        <v>133</v>
      </c>
      <c r="E40" s="7" t="s">
        <v>49</v>
      </c>
      <c r="F40" s="25" t="s">
        <v>497</v>
      </c>
    </row>
    <row r="41" spans="1:6">
      <c r="A41" s="3" t="s">
        <v>98</v>
      </c>
      <c r="C41" s="7">
        <v>40</v>
      </c>
      <c r="D41" s="4" t="s">
        <v>136</v>
      </c>
      <c r="E41" s="7" t="s">
        <v>49</v>
      </c>
      <c r="F41" s="25" t="s">
        <v>488</v>
      </c>
    </row>
    <row r="42" spans="1:6">
      <c r="A42" s="3" t="s">
        <v>122</v>
      </c>
      <c r="C42" s="7">
        <v>41</v>
      </c>
      <c r="D42" s="4" t="s">
        <v>158</v>
      </c>
      <c r="E42" s="7" t="s">
        <v>42</v>
      </c>
      <c r="F42" s="25" t="s">
        <v>480</v>
      </c>
    </row>
    <row r="43" spans="1:6">
      <c r="A43" s="3" t="s">
        <v>88</v>
      </c>
      <c r="B43" s="20" t="s">
        <v>536</v>
      </c>
      <c r="C43" s="7">
        <v>42</v>
      </c>
      <c r="D43" s="4" t="s">
        <v>124</v>
      </c>
      <c r="E43" s="7" t="s">
        <v>49</v>
      </c>
      <c r="F43" s="25" t="s">
        <v>500</v>
      </c>
    </row>
    <row r="44" spans="1:6">
      <c r="A44" s="3" t="s">
        <v>196</v>
      </c>
      <c r="B44" s="21" t="s">
        <v>573</v>
      </c>
      <c r="C44" s="2">
        <v>43</v>
      </c>
      <c r="D44" s="4" t="s">
        <v>195</v>
      </c>
      <c r="E44" s="2" t="s">
        <v>42</v>
      </c>
      <c r="F44" s="24" t="s">
        <v>480</v>
      </c>
    </row>
    <row r="45" spans="1:6">
      <c r="A45" s="3" t="s">
        <v>198</v>
      </c>
      <c r="B45" s="21"/>
      <c r="C45" s="2">
        <v>44</v>
      </c>
      <c r="D45" s="4" t="s">
        <v>197</v>
      </c>
      <c r="E45" s="2" t="s">
        <v>41</v>
      </c>
      <c r="F45" s="24" t="s">
        <v>84</v>
      </c>
    </row>
    <row r="46" spans="1:6">
      <c r="A46" s="3" t="s">
        <v>89</v>
      </c>
      <c r="C46" s="7">
        <v>45</v>
      </c>
      <c r="D46" s="4" t="s">
        <v>125</v>
      </c>
      <c r="E46" s="7" t="s">
        <v>49</v>
      </c>
      <c r="F46" s="25" t="s">
        <v>488</v>
      </c>
    </row>
    <row r="47" spans="1:6">
      <c r="A47" s="3" t="s">
        <v>90</v>
      </c>
      <c r="B47" s="23" t="s">
        <v>537</v>
      </c>
      <c r="C47" s="7">
        <v>46</v>
      </c>
      <c r="D47" s="4" t="s">
        <v>127</v>
      </c>
      <c r="E47" s="7" t="s">
        <v>49</v>
      </c>
      <c r="F47" s="25" t="s">
        <v>483</v>
      </c>
    </row>
    <row r="48" spans="1:6">
      <c r="A48" s="3" t="s">
        <v>106</v>
      </c>
      <c r="C48" s="7">
        <v>47</v>
      </c>
      <c r="D48" s="4" t="s">
        <v>140</v>
      </c>
      <c r="E48" s="7" t="s">
        <v>49</v>
      </c>
      <c r="F48" s="25" t="s">
        <v>500</v>
      </c>
    </row>
    <row r="49" spans="1:6">
      <c r="A49" s="3" t="s">
        <v>91</v>
      </c>
      <c r="C49" s="7">
        <v>48</v>
      </c>
      <c r="D49" s="4" t="s">
        <v>126</v>
      </c>
      <c r="E49" s="7" t="s">
        <v>49</v>
      </c>
      <c r="F49" s="25" t="s">
        <v>483</v>
      </c>
    </row>
    <row r="50" spans="1:6">
      <c r="A50" s="14" t="s">
        <v>92</v>
      </c>
      <c r="B50" s="23" t="s">
        <v>538</v>
      </c>
      <c r="C50" s="7">
        <v>49</v>
      </c>
      <c r="D50" s="4" t="s">
        <v>128</v>
      </c>
      <c r="E50" s="7" t="s">
        <v>49</v>
      </c>
      <c r="F50" s="25" t="s">
        <v>500</v>
      </c>
    </row>
    <row r="51" spans="1:6">
      <c r="A51" s="3" t="s">
        <v>93</v>
      </c>
      <c r="C51" s="7">
        <v>50</v>
      </c>
      <c r="D51" s="4" t="s">
        <v>129</v>
      </c>
      <c r="E51" s="7" t="s">
        <v>49</v>
      </c>
      <c r="F51" s="25" t="s">
        <v>488</v>
      </c>
    </row>
    <row r="52" spans="1:6">
      <c r="A52" s="14" t="s">
        <v>161</v>
      </c>
      <c r="C52" s="7">
        <v>51</v>
      </c>
      <c r="D52" s="4" t="s">
        <v>134</v>
      </c>
      <c r="E52" s="7" t="s">
        <v>42</v>
      </c>
      <c r="F52" s="25" t="s">
        <v>480</v>
      </c>
    </row>
    <row r="53" spans="1:6">
      <c r="A53" s="3" t="s">
        <v>200</v>
      </c>
      <c r="B53" s="21"/>
      <c r="C53" s="2">
        <v>52</v>
      </c>
      <c r="D53" s="4" t="s">
        <v>199</v>
      </c>
      <c r="E53" s="2" t="s">
        <v>41</v>
      </c>
      <c r="F53" s="24" t="s">
        <v>84</v>
      </c>
    </row>
    <row r="54" spans="1:6">
      <c r="A54" s="3" t="s">
        <v>109</v>
      </c>
      <c r="B54" s="20" t="s">
        <v>539</v>
      </c>
      <c r="C54" s="7">
        <v>53</v>
      </c>
      <c r="D54" s="4" t="s">
        <v>143</v>
      </c>
      <c r="E54" s="7" t="s">
        <v>49</v>
      </c>
      <c r="F54" s="25" t="s">
        <v>483</v>
      </c>
    </row>
    <row r="55" spans="1:6">
      <c r="A55" s="3" t="s">
        <v>108</v>
      </c>
      <c r="B55" s="20" t="s">
        <v>540</v>
      </c>
      <c r="C55" s="7">
        <v>54</v>
      </c>
      <c r="D55" s="4" t="s">
        <v>142</v>
      </c>
      <c r="E55" s="7" t="s">
        <v>49</v>
      </c>
      <c r="F55" s="25" t="s">
        <v>574</v>
      </c>
    </row>
    <row r="56" spans="1:6">
      <c r="A56" s="3" t="s">
        <v>120</v>
      </c>
      <c r="C56" s="7">
        <v>55</v>
      </c>
      <c r="D56" s="4" t="s">
        <v>156</v>
      </c>
      <c r="E56" s="7" t="s">
        <v>49</v>
      </c>
      <c r="F56" s="25" t="s">
        <v>497</v>
      </c>
    </row>
    <row r="57" spans="1:6">
      <c r="A57" s="3" t="s">
        <v>101</v>
      </c>
      <c r="B57" s="20" t="s">
        <v>541</v>
      </c>
      <c r="C57" s="7">
        <v>56</v>
      </c>
      <c r="D57" s="4" t="s">
        <v>138</v>
      </c>
      <c r="E57" s="7" t="s">
        <v>49</v>
      </c>
      <c r="F57" s="25" t="s">
        <v>483</v>
      </c>
    </row>
    <row r="58" spans="1:6">
      <c r="A58" s="3" t="s">
        <v>102</v>
      </c>
      <c r="C58" s="7">
        <v>57</v>
      </c>
      <c r="D58" s="4" t="s">
        <v>137</v>
      </c>
      <c r="E58" s="7" t="s">
        <v>49</v>
      </c>
      <c r="F58" s="25" t="s">
        <v>497</v>
      </c>
    </row>
    <row r="59" spans="1:6" ht="47.25">
      <c r="A59" s="14" t="s">
        <v>166</v>
      </c>
      <c r="B59" s="20" t="s">
        <v>542</v>
      </c>
      <c r="C59" s="7">
        <v>58</v>
      </c>
      <c r="D59" s="4" t="s">
        <v>144</v>
      </c>
      <c r="E59" s="7" t="s">
        <v>467</v>
      </c>
      <c r="F59" s="25" t="s">
        <v>167</v>
      </c>
    </row>
    <row r="60" spans="1:6">
      <c r="A60" s="3" t="s">
        <v>103</v>
      </c>
      <c r="C60" s="7">
        <v>59</v>
      </c>
      <c r="D60" s="4" t="s">
        <v>139</v>
      </c>
      <c r="E60" s="7" t="s">
        <v>467</v>
      </c>
      <c r="F60" s="25" t="s">
        <v>164</v>
      </c>
    </row>
    <row r="61" spans="1:6">
      <c r="A61" s="5" t="s">
        <v>50</v>
      </c>
      <c r="D61" s="8"/>
      <c r="E61" s="7">
        <f>SUBTOTAL(103,[ESTADO])</f>
        <v>59</v>
      </c>
    </row>
  </sheetData>
  <pageMargins left="0.7" right="0.7" top="0.75" bottom="0.75" header="0.3" footer="0.3"/>
  <pageSetup paperSize="9" scale="49" fitToWidth="0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F42"/>
  <sheetViews>
    <sheetView tabSelected="1" zoomScale="90" zoomScaleNormal="90" workbookViewId="0">
      <pane ySplit="1" topLeftCell="A2" activePane="bottomLeft" state="frozen"/>
      <selection pane="bottomLeft" activeCell="G7" sqref="G6:G7"/>
    </sheetView>
  </sheetViews>
  <sheetFormatPr baseColWidth="10" defaultColWidth="15.28515625" defaultRowHeight="15.75"/>
  <cols>
    <col min="1" max="1" width="41.7109375" style="6" customWidth="1"/>
    <col min="2" max="2" width="35.5703125" style="6" customWidth="1"/>
    <col min="3" max="3" width="8.5703125" style="7" customWidth="1"/>
    <col min="4" max="4" width="32" style="7" customWidth="1"/>
    <col min="5" max="5" width="17.140625" style="7" customWidth="1"/>
    <col min="6" max="6" width="45.42578125" style="25" customWidth="1"/>
    <col min="7" max="16384" width="15.28515625" style="6"/>
  </cols>
  <sheetData>
    <row r="1" spans="1:6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25" t="s">
        <v>5</v>
      </c>
    </row>
    <row r="2" spans="1:6">
      <c r="A2" s="6" t="s">
        <v>203</v>
      </c>
      <c r="C2" s="7">
        <v>1</v>
      </c>
      <c r="D2" s="7" t="s">
        <v>202</v>
      </c>
      <c r="E2" s="7" t="s">
        <v>49</v>
      </c>
      <c r="F2" s="25" t="s">
        <v>488</v>
      </c>
    </row>
    <row r="3" spans="1:6">
      <c r="A3" s="1" t="s">
        <v>205</v>
      </c>
      <c r="B3" s="1"/>
      <c r="C3" s="2">
        <v>2</v>
      </c>
      <c r="D3" s="2" t="s">
        <v>204</v>
      </c>
      <c r="E3" s="2" t="s">
        <v>41</v>
      </c>
      <c r="F3" s="24" t="s">
        <v>247</v>
      </c>
    </row>
    <row r="4" spans="1:6" ht="31.5">
      <c r="A4" s="1" t="s">
        <v>487</v>
      </c>
      <c r="B4" s="1"/>
      <c r="C4" s="2">
        <v>3</v>
      </c>
      <c r="D4" s="2" t="s">
        <v>206</v>
      </c>
      <c r="E4" s="2" t="s">
        <v>49</v>
      </c>
      <c r="F4" s="24" t="s">
        <v>594</v>
      </c>
    </row>
    <row r="5" spans="1:6">
      <c r="A5" s="6" t="s">
        <v>208</v>
      </c>
      <c r="B5" s="6" t="s">
        <v>209</v>
      </c>
      <c r="C5" s="2">
        <v>4</v>
      </c>
      <c r="D5" s="7" t="s">
        <v>207</v>
      </c>
      <c r="E5" s="7" t="s">
        <v>49</v>
      </c>
      <c r="F5" s="25" t="s">
        <v>486</v>
      </c>
    </row>
    <row r="6" spans="1:6">
      <c r="A6" s="6" t="s">
        <v>489</v>
      </c>
      <c r="B6" s="6" t="s">
        <v>211</v>
      </c>
      <c r="C6" s="2">
        <v>5</v>
      </c>
      <c r="D6" s="7" t="s">
        <v>210</v>
      </c>
      <c r="E6" s="7" t="s">
        <v>49</v>
      </c>
      <c r="F6" s="25" t="s">
        <v>488</v>
      </c>
    </row>
    <row r="7" spans="1:6">
      <c r="A7" s="6" t="s">
        <v>212</v>
      </c>
      <c r="B7" s="6" t="s">
        <v>213</v>
      </c>
      <c r="C7" s="2">
        <v>6</v>
      </c>
      <c r="D7" s="7" t="s">
        <v>427</v>
      </c>
      <c r="E7" s="7" t="s">
        <v>49</v>
      </c>
      <c r="F7" s="25" t="s">
        <v>500</v>
      </c>
    </row>
    <row r="8" spans="1:6">
      <c r="A8" s="6" t="s">
        <v>214</v>
      </c>
      <c r="C8" s="2">
        <v>7</v>
      </c>
      <c r="D8" s="7" t="s">
        <v>428</v>
      </c>
      <c r="E8" s="7" t="s">
        <v>49</v>
      </c>
      <c r="F8" s="25" t="s">
        <v>488</v>
      </c>
    </row>
    <row r="9" spans="1:6">
      <c r="A9" s="6" t="s">
        <v>484</v>
      </c>
      <c r="B9" s="6" t="s">
        <v>215</v>
      </c>
      <c r="C9" s="2">
        <v>8</v>
      </c>
      <c r="D9" s="7" t="s">
        <v>429</v>
      </c>
      <c r="E9" s="7" t="s">
        <v>49</v>
      </c>
      <c r="F9" s="25" t="s">
        <v>486</v>
      </c>
    </row>
    <row r="10" spans="1:6">
      <c r="A10" s="6" t="s">
        <v>581</v>
      </c>
      <c r="C10" s="2">
        <v>9</v>
      </c>
      <c r="D10" s="7" t="s">
        <v>244</v>
      </c>
      <c r="E10" s="7" t="s">
        <v>42</v>
      </c>
      <c r="F10" s="25" t="s">
        <v>480</v>
      </c>
    </row>
    <row r="11" spans="1:6">
      <c r="A11" s="6" t="s">
        <v>217</v>
      </c>
      <c r="B11" s="6" t="s">
        <v>216</v>
      </c>
      <c r="C11" s="2">
        <v>10</v>
      </c>
      <c r="D11" s="7" t="s">
        <v>430</v>
      </c>
      <c r="E11" s="7" t="s">
        <v>49</v>
      </c>
    </row>
    <row r="12" spans="1:6">
      <c r="A12" s="6" t="s">
        <v>582</v>
      </c>
      <c r="C12" s="2">
        <v>11</v>
      </c>
      <c r="D12" s="7" t="s">
        <v>245</v>
      </c>
      <c r="E12" s="7" t="s">
        <v>42</v>
      </c>
      <c r="F12" s="25" t="s">
        <v>480</v>
      </c>
    </row>
    <row r="13" spans="1:6">
      <c r="A13" s="6" t="s">
        <v>583</v>
      </c>
      <c r="C13" s="2">
        <v>12</v>
      </c>
      <c r="D13" s="7" t="s">
        <v>246</v>
      </c>
      <c r="E13" s="7" t="s">
        <v>41</v>
      </c>
      <c r="F13" s="25" t="s">
        <v>247</v>
      </c>
    </row>
    <row r="14" spans="1:6">
      <c r="A14" s="6" t="s">
        <v>218</v>
      </c>
      <c r="C14" s="2">
        <v>13</v>
      </c>
      <c r="D14" s="7" t="s">
        <v>431</v>
      </c>
      <c r="E14" s="7" t="s">
        <v>49</v>
      </c>
      <c r="F14" s="25" t="s">
        <v>486</v>
      </c>
    </row>
    <row r="15" spans="1:6">
      <c r="A15" s="6" t="s">
        <v>219</v>
      </c>
      <c r="C15" s="2">
        <v>14</v>
      </c>
      <c r="D15" s="7" t="s">
        <v>433</v>
      </c>
      <c r="E15" s="7" t="s">
        <v>49</v>
      </c>
      <c r="F15" s="25" t="s">
        <v>488</v>
      </c>
    </row>
    <row r="16" spans="1:6">
      <c r="A16" s="6" t="s">
        <v>220</v>
      </c>
      <c r="C16" s="2">
        <v>15</v>
      </c>
      <c r="D16" s="7" t="s">
        <v>432</v>
      </c>
      <c r="E16" s="7" t="s">
        <v>49</v>
      </c>
      <c r="F16" s="25" t="s">
        <v>488</v>
      </c>
    </row>
    <row r="17" spans="1:6">
      <c r="A17" s="6" t="s">
        <v>221</v>
      </c>
      <c r="B17" s="6" t="s">
        <v>222</v>
      </c>
      <c r="C17" s="2">
        <v>16</v>
      </c>
      <c r="D17" s="7" t="s">
        <v>434</v>
      </c>
      <c r="E17" s="7" t="s">
        <v>49</v>
      </c>
      <c r="F17" s="25" t="s">
        <v>488</v>
      </c>
    </row>
    <row r="18" spans="1:6">
      <c r="A18" s="6" t="s">
        <v>223</v>
      </c>
      <c r="C18" s="2">
        <v>17</v>
      </c>
      <c r="D18" s="7" t="s">
        <v>435</v>
      </c>
      <c r="E18" s="7" t="s">
        <v>49</v>
      </c>
      <c r="F18" s="25" t="s">
        <v>483</v>
      </c>
    </row>
    <row r="19" spans="1:6">
      <c r="A19" s="6" t="s">
        <v>224</v>
      </c>
      <c r="B19" s="6" t="s">
        <v>225</v>
      </c>
      <c r="C19" s="2">
        <v>18</v>
      </c>
      <c r="D19" s="7" t="s">
        <v>436</v>
      </c>
      <c r="E19" s="7" t="s">
        <v>49</v>
      </c>
      <c r="F19" s="25" t="s">
        <v>483</v>
      </c>
    </row>
    <row r="20" spans="1:6">
      <c r="A20" s="6" t="s">
        <v>580</v>
      </c>
      <c r="B20" s="6" t="s">
        <v>543</v>
      </c>
      <c r="C20" s="2">
        <v>19</v>
      </c>
      <c r="D20" s="7" t="s">
        <v>248</v>
      </c>
      <c r="E20" s="7" t="s">
        <v>41</v>
      </c>
      <c r="F20" s="25" t="s">
        <v>84</v>
      </c>
    </row>
    <row r="21" spans="1:6">
      <c r="A21" s="6" t="s">
        <v>227</v>
      </c>
      <c r="B21" s="6" t="s">
        <v>228</v>
      </c>
      <c r="C21" s="2">
        <v>20</v>
      </c>
      <c r="D21" s="7" t="s">
        <v>437</v>
      </c>
      <c r="E21" s="7" t="s">
        <v>49</v>
      </c>
      <c r="F21" s="25" t="s">
        <v>483</v>
      </c>
    </row>
    <row r="22" spans="1:6">
      <c r="A22" s="6" t="s">
        <v>229</v>
      </c>
      <c r="B22" s="6" t="s">
        <v>230</v>
      </c>
      <c r="C22" s="2">
        <v>21</v>
      </c>
      <c r="D22" s="7" t="s">
        <v>438</v>
      </c>
      <c r="E22" s="7" t="s">
        <v>49</v>
      </c>
      <c r="F22" s="25" t="s">
        <v>488</v>
      </c>
    </row>
    <row r="23" spans="1:6">
      <c r="A23" s="6" t="s">
        <v>231</v>
      </c>
      <c r="C23" s="2">
        <v>22</v>
      </c>
      <c r="D23" s="7" t="s">
        <v>439</v>
      </c>
      <c r="E23" s="7" t="s">
        <v>49</v>
      </c>
      <c r="F23" s="25" t="s">
        <v>483</v>
      </c>
    </row>
    <row r="24" spans="1:6">
      <c r="A24" s="6" t="s">
        <v>232</v>
      </c>
      <c r="B24" s="6" t="s">
        <v>233</v>
      </c>
      <c r="C24" s="2">
        <v>23</v>
      </c>
      <c r="D24" s="7" t="s">
        <v>440</v>
      </c>
      <c r="E24" s="7" t="s">
        <v>49</v>
      </c>
      <c r="F24" s="25" t="s">
        <v>486</v>
      </c>
    </row>
    <row r="25" spans="1:6">
      <c r="A25" s="6" t="s">
        <v>584</v>
      </c>
      <c r="B25" s="6" t="s">
        <v>544</v>
      </c>
      <c r="C25" s="2">
        <v>24</v>
      </c>
      <c r="D25" s="7" t="s">
        <v>249</v>
      </c>
      <c r="E25" s="7" t="s">
        <v>467</v>
      </c>
      <c r="F25" s="25" t="s">
        <v>250</v>
      </c>
    </row>
    <row r="26" spans="1:6">
      <c r="A26" s="6" t="s">
        <v>252</v>
      </c>
      <c r="C26" s="2">
        <v>25</v>
      </c>
      <c r="D26" s="7" t="s">
        <v>251</v>
      </c>
      <c r="E26" s="7" t="s">
        <v>41</v>
      </c>
      <c r="F26" s="25" t="s">
        <v>86</v>
      </c>
    </row>
    <row r="27" spans="1:6">
      <c r="A27" s="6" t="s">
        <v>585</v>
      </c>
      <c r="B27" s="6" t="s">
        <v>545</v>
      </c>
      <c r="C27" s="2">
        <v>26</v>
      </c>
      <c r="D27" s="7" t="s">
        <v>253</v>
      </c>
      <c r="E27" s="7" t="s">
        <v>41</v>
      </c>
      <c r="F27" s="25" t="s">
        <v>86</v>
      </c>
    </row>
    <row r="28" spans="1:6">
      <c r="A28" s="6" t="s">
        <v>255</v>
      </c>
      <c r="C28" s="2">
        <v>27</v>
      </c>
      <c r="D28" s="7" t="s">
        <v>254</v>
      </c>
      <c r="E28" s="7" t="s">
        <v>41</v>
      </c>
      <c r="F28" s="25" t="s">
        <v>86</v>
      </c>
    </row>
    <row r="29" spans="1:6" ht="63">
      <c r="A29" s="6" t="s">
        <v>257</v>
      </c>
      <c r="C29" s="2">
        <v>28</v>
      </c>
      <c r="D29" s="7" t="s">
        <v>256</v>
      </c>
      <c r="E29" s="7" t="s">
        <v>41</v>
      </c>
      <c r="F29" s="25" t="s">
        <v>592</v>
      </c>
    </row>
    <row r="30" spans="1:6">
      <c r="A30" s="6" t="s">
        <v>259</v>
      </c>
      <c r="C30" s="2">
        <v>29</v>
      </c>
      <c r="D30" s="7" t="s">
        <v>258</v>
      </c>
      <c r="E30" s="7" t="s">
        <v>41</v>
      </c>
      <c r="F30" s="25" t="s">
        <v>84</v>
      </c>
    </row>
    <row r="31" spans="1:6">
      <c r="A31" s="6" t="s">
        <v>234</v>
      </c>
      <c r="C31" s="2">
        <v>30</v>
      </c>
      <c r="D31" s="7" t="s">
        <v>441</v>
      </c>
      <c r="E31" s="7" t="s">
        <v>49</v>
      </c>
      <c r="F31" s="25" t="s">
        <v>483</v>
      </c>
    </row>
    <row r="32" spans="1:6">
      <c r="A32" s="6" t="s">
        <v>235</v>
      </c>
      <c r="B32" s="6" t="s">
        <v>236</v>
      </c>
      <c r="C32" s="2">
        <v>31</v>
      </c>
      <c r="D32" s="7" t="s">
        <v>444</v>
      </c>
      <c r="E32" s="7" t="s">
        <v>49</v>
      </c>
      <c r="F32" s="25" t="s">
        <v>486</v>
      </c>
    </row>
    <row r="33" spans="1:6">
      <c r="A33" s="6" t="s">
        <v>237</v>
      </c>
      <c r="C33" s="2">
        <v>32</v>
      </c>
      <c r="D33" s="7" t="s">
        <v>445</v>
      </c>
      <c r="E33" s="7" t="s">
        <v>49</v>
      </c>
      <c r="F33" s="25" t="s">
        <v>486</v>
      </c>
    </row>
    <row r="34" spans="1:6">
      <c r="C34" s="2">
        <v>33</v>
      </c>
      <c r="D34" s="7" t="s">
        <v>260</v>
      </c>
      <c r="E34" s="18" t="s">
        <v>43</v>
      </c>
      <c r="F34" s="25" t="s">
        <v>261</v>
      </c>
    </row>
    <row r="35" spans="1:6">
      <c r="A35" s="6" t="s">
        <v>238</v>
      </c>
      <c r="C35" s="2">
        <v>34</v>
      </c>
      <c r="D35" s="7" t="s">
        <v>442</v>
      </c>
      <c r="E35" s="7" t="s">
        <v>49</v>
      </c>
      <c r="F35" s="25" t="s">
        <v>483</v>
      </c>
    </row>
    <row r="36" spans="1:6">
      <c r="A36" s="6" t="s">
        <v>263</v>
      </c>
      <c r="C36" s="2">
        <v>35</v>
      </c>
      <c r="D36" s="7" t="s">
        <v>262</v>
      </c>
      <c r="E36" s="7" t="s">
        <v>49</v>
      </c>
      <c r="F36" s="25" t="s">
        <v>500</v>
      </c>
    </row>
    <row r="37" spans="1:6">
      <c r="C37" s="2">
        <v>36</v>
      </c>
      <c r="D37" s="7" t="s">
        <v>264</v>
      </c>
      <c r="E37" s="7" t="s">
        <v>43</v>
      </c>
      <c r="F37" s="25" t="s">
        <v>261</v>
      </c>
    </row>
    <row r="38" spans="1:6">
      <c r="A38" s="6" t="s">
        <v>239</v>
      </c>
      <c r="C38" s="2">
        <v>37</v>
      </c>
      <c r="D38" s="7" t="s">
        <v>443</v>
      </c>
      <c r="E38" s="7" t="s">
        <v>49</v>
      </c>
    </row>
    <row r="39" spans="1:6">
      <c r="A39" s="6" t="s">
        <v>586</v>
      </c>
      <c r="B39" s="6" t="s">
        <v>546</v>
      </c>
      <c r="C39" s="2">
        <v>38</v>
      </c>
      <c r="D39" s="7" t="s">
        <v>265</v>
      </c>
      <c r="E39" s="7" t="s">
        <v>160</v>
      </c>
    </row>
    <row r="40" spans="1:6">
      <c r="A40" s="6" t="s">
        <v>587</v>
      </c>
      <c r="B40" s="6" t="s">
        <v>547</v>
      </c>
      <c r="C40" s="2">
        <v>39</v>
      </c>
      <c r="D40" s="7" t="s">
        <v>266</v>
      </c>
      <c r="E40" s="7" t="s">
        <v>41</v>
      </c>
      <c r="F40" s="25" t="s">
        <v>82</v>
      </c>
    </row>
    <row r="41" spans="1:6">
      <c r="A41" s="6" t="s">
        <v>588</v>
      </c>
      <c r="C41" s="2">
        <v>40</v>
      </c>
      <c r="D41" s="7" t="s">
        <v>267</v>
      </c>
      <c r="E41" s="7" t="s">
        <v>467</v>
      </c>
      <c r="F41" s="25" t="s">
        <v>268</v>
      </c>
    </row>
    <row r="42" spans="1:6">
      <c r="A42" s="37" t="s">
        <v>50</v>
      </c>
      <c r="B42" s="37"/>
      <c r="C42" s="38"/>
      <c r="D42" s="38"/>
      <c r="E42" s="38">
        <f>SUBTOTAL(103,[ESTADO])</f>
        <v>40</v>
      </c>
      <c r="F42" s="77"/>
    </row>
  </sheetData>
  <pageMargins left="0.7" right="0.7" top="0.75" bottom="0.75" header="0.3" footer="0.3"/>
  <pageSetup paperSize="9" scale="50" fitToWidth="0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F41"/>
  <sheetViews>
    <sheetView topLeftCell="B1" zoomScaleNormal="100" workbookViewId="0">
      <pane ySplit="1" topLeftCell="A3" activePane="bottomLeft" state="frozen"/>
      <selection pane="bottomLeft" activeCell="F25" sqref="F25"/>
    </sheetView>
  </sheetViews>
  <sheetFormatPr baseColWidth="10" defaultRowHeight="15.75"/>
  <cols>
    <col min="1" max="1" width="46.7109375" style="9" customWidth="1"/>
    <col min="2" max="2" width="34" style="11" customWidth="1"/>
    <col min="3" max="3" width="11.42578125" style="7"/>
    <col min="4" max="4" width="28.28515625" style="10" customWidth="1"/>
    <col min="5" max="5" width="23.5703125" style="7" customWidth="1"/>
    <col min="6" max="6" width="48.5703125" style="25" customWidth="1"/>
    <col min="7" max="16384" width="11.42578125" style="11"/>
  </cols>
  <sheetData>
    <row r="1" spans="1:6">
      <c r="A1" s="9" t="s">
        <v>0</v>
      </c>
      <c r="B1" s="11" t="s">
        <v>1</v>
      </c>
      <c r="C1" s="7" t="s">
        <v>2</v>
      </c>
      <c r="D1" s="10" t="s">
        <v>3</v>
      </c>
      <c r="E1" s="7" t="s">
        <v>4</v>
      </c>
      <c r="F1" s="25" t="s">
        <v>5</v>
      </c>
    </row>
    <row r="2" spans="1:6">
      <c r="A2" s="13" t="s">
        <v>319</v>
      </c>
      <c r="B2" s="26"/>
      <c r="C2" s="2">
        <v>1</v>
      </c>
      <c r="D2" s="4" t="s">
        <v>318</v>
      </c>
      <c r="E2" s="2" t="s">
        <v>41</v>
      </c>
      <c r="F2" s="24" t="s">
        <v>320</v>
      </c>
    </row>
    <row r="3" spans="1:6">
      <c r="A3" s="13" t="s">
        <v>298</v>
      </c>
      <c r="C3" s="7">
        <v>2</v>
      </c>
      <c r="D3" s="4" t="s">
        <v>462</v>
      </c>
      <c r="E3" s="7" t="s">
        <v>49</v>
      </c>
    </row>
    <row r="4" spans="1:6">
      <c r="A4" s="13" t="s">
        <v>297</v>
      </c>
      <c r="C4" s="7">
        <v>3</v>
      </c>
      <c r="D4" s="4" t="s">
        <v>446</v>
      </c>
      <c r="E4" s="7" t="s">
        <v>49</v>
      </c>
      <c r="F4" s="25" t="s">
        <v>486</v>
      </c>
    </row>
    <row r="5" spans="1:6" ht="31.5">
      <c r="A5" s="27" t="s">
        <v>296</v>
      </c>
      <c r="C5" s="7">
        <v>4</v>
      </c>
      <c r="D5" s="4" t="s">
        <v>463</v>
      </c>
      <c r="E5" s="7" t="s">
        <v>42</v>
      </c>
      <c r="F5" s="25" t="s">
        <v>316</v>
      </c>
    </row>
    <row r="6" spans="1:6">
      <c r="A6" s="13" t="s">
        <v>317</v>
      </c>
      <c r="B6" s="75" t="s">
        <v>298</v>
      </c>
      <c r="C6" s="7">
        <v>5</v>
      </c>
      <c r="D6" s="4" t="s">
        <v>464</v>
      </c>
      <c r="E6" s="7" t="s">
        <v>160</v>
      </c>
      <c r="F6" s="25" t="s">
        <v>301</v>
      </c>
    </row>
    <row r="7" spans="1:6">
      <c r="A7" s="13" t="s">
        <v>295</v>
      </c>
      <c r="C7" s="7">
        <v>6</v>
      </c>
      <c r="D7" s="4" t="s">
        <v>447</v>
      </c>
      <c r="E7" s="7" t="s">
        <v>49</v>
      </c>
      <c r="F7" s="25" t="s">
        <v>483</v>
      </c>
    </row>
    <row r="8" spans="1:6">
      <c r="A8" s="13" t="s">
        <v>322</v>
      </c>
      <c r="B8" s="26"/>
      <c r="C8" s="2">
        <v>7</v>
      </c>
      <c r="D8" s="4" t="s">
        <v>321</v>
      </c>
      <c r="E8" s="2" t="s">
        <v>41</v>
      </c>
      <c r="F8" s="24" t="s">
        <v>86</v>
      </c>
    </row>
    <row r="9" spans="1:6">
      <c r="A9" s="13" t="s">
        <v>294</v>
      </c>
      <c r="C9" s="7">
        <v>8</v>
      </c>
      <c r="D9" s="4" t="s">
        <v>448</v>
      </c>
      <c r="E9" s="7" t="s">
        <v>49</v>
      </c>
      <c r="F9" s="25" t="s">
        <v>486</v>
      </c>
    </row>
    <row r="10" spans="1:6">
      <c r="A10" s="13" t="s">
        <v>293</v>
      </c>
      <c r="B10" s="11" t="s">
        <v>548</v>
      </c>
      <c r="C10" s="7">
        <v>9</v>
      </c>
      <c r="D10" s="4" t="s">
        <v>315</v>
      </c>
      <c r="E10" s="7" t="s">
        <v>49</v>
      </c>
      <c r="F10" s="25" t="s">
        <v>497</v>
      </c>
    </row>
    <row r="11" spans="1:6">
      <c r="A11" s="13" t="s">
        <v>292</v>
      </c>
      <c r="C11" s="7">
        <v>10</v>
      </c>
      <c r="D11" s="4" t="s">
        <v>314</v>
      </c>
      <c r="E11" s="7" t="s">
        <v>49</v>
      </c>
      <c r="F11" s="25" t="s">
        <v>486</v>
      </c>
    </row>
    <row r="12" spans="1:6">
      <c r="A12" s="13" t="s">
        <v>324</v>
      </c>
      <c r="B12" s="26"/>
      <c r="C12" s="2">
        <v>11</v>
      </c>
      <c r="D12" s="4" t="s">
        <v>323</v>
      </c>
      <c r="E12" s="2" t="s">
        <v>41</v>
      </c>
      <c r="F12" s="24" t="s">
        <v>86</v>
      </c>
    </row>
    <row r="13" spans="1:6">
      <c r="A13" s="27" t="s">
        <v>291</v>
      </c>
      <c r="C13" s="7">
        <v>12</v>
      </c>
      <c r="D13" s="4" t="s">
        <v>313</v>
      </c>
      <c r="E13" s="7" t="s">
        <v>49</v>
      </c>
      <c r="F13" s="25" t="s">
        <v>486</v>
      </c>
    </row>
    <row r="14" spans="1:6">
      <c r="A14" s="13" t="s">
        <v>290</v>
      </c>
      <c r="C14" s="7">
        <v>13</v>
      </c>
      <c r="D14" s="4" t="s">
        <v>312</v>
      </c>
      <c r="E14" s="7" t="s">
        <v>160</v>
      </c>
      <c r="F14" s="25" t="s">
        <v>301</v>
      </c>
    </row>
    <row r="15" spans="1:6">
      <c r="A15" s="13" t="s">
        <v>289</v>
      </c>
      <c r="C15" s="7">
        <v>14</v>
      </c>
      <c r="D15" s="4" t="s">
        <v>311</v>
      </c>
      <c r="E15" s="7" t="s">
        <v>49</v>
      </c>
      <c r="F15" s="25" t="s">
        <v>486</v>
      </c>
    </row>
    <row r="16" spans="1:6">
      <c r="A16" s="13" t="s">
        <v>326</v>
      </c>
      <c r="B16" s="26"/>
      <c r="C16" s="2">
        <v>15</v>
      </c>
      <c r="D16" s="4" t="s">
        <v>325</v>
      </c>
      <c r="E16" s="2" t="s">
        <v>42</v>
      </c>
      <c r="F16" s="24" t="s">
        <v>479</v>
      </c>
    </row>
    <row r="17" spans="1:6">
      <c r="A17" s="13" t="s">
        <v>288</v>
      </c>
      <c r="C17" s="7">
        <v>16</v>
      </c>
      <c r="D17" s="4" t="s">
        <v>310</v>
      </c>
      <c r="E17" s="7" t="s">
        <v>160</v>
      </c>
      <c r="F17" s="25" t="s">
        <v>301</v>
      </c>
    </row>
    <row r="18" spans="1:6">
      <c r="A18" s="13" t="s">
        <v>287</v>
      </c>
      <c r="B18" s="11" t="s">
        <v>549</v>
      </c>
      <c r="C18" s="7">
        <v>17</v>
      </c>
      <c r="D18" s="4" t="s">
        <v>309</v>
      </c>
      <c r="E18" s="7" t="s">
        <v>49</v>
      </c>
      <c r="F18" s="25" t="s">
        <v>497</v>
      </c>
    </row>
    <row r="19" spans="1:6" ht="20.25" customHeight="1">
      <c r="A19" s="13" t="s">
        <v>286</v>
      </c>
      <c r="C19" s="7">
        <v>18</v>
      </c>
      <c r="D19" s="4" t="s">
        <v>308</v>
      </c>
      <c r="E19" s="7" t="s">
        <v>49</v>
      </c>
      <c r="F19" s="25" t="s">
        <v>575</v>
      </c>
    </row>
    <row r="20" spans="1:6">
      <c r="A20" s="13" t="s">
        <v>285</v>
      </c>
      <c r="C20" s="7">
        <v>19</v>
      </c>
      <c r="D20" s="4" t="s">
        <v>449</v>
      </c>
      <c r="E20" s="7" t="s">
        <v>49</v>
      </c>
      <c r="F20" s="25" t="s">
        <v>497</v>
      </c>
    </row>
    <row r="21" spans="1:6">
      <c r="A21" s="13" t="s">
        <v>328</v>
      </c>
      <c r="B21" s="26"/>
      <c r="C21" s="2">
        <v>20</v>
      </c>
      <c r="D21" s="4" t="s">
        <v>327</v>
      </c>
      <c r="E21" s="2" t="s">
        <v>41</v>
      </c>
      <c r="F21" s="24" t="s">
        <v>82</v>
      </c>
    </row>
    <row r="22" spans="1:6">
      <c r="A22" s="13" t="s">
        <v>284</v>
      </c>
      <c r="C22" s="7">
        <v>21</v>
      </c>
      <c r="D22" s="4" t="s">
        <v>450</v>
      </c>
      <c r="E22" s="7" t="s">
        <v>49</v>
      </c>
      <c r="F22" s="25" t="s">
        <v>485</v>
      </c>
    </row>
    <row r="23" spans="1:6">
      <c r="A23" s="13" t="s">
        <v>283</v>
      </c>
      <c r="B23" s="11" t="s">
        <v>550</v>
      </c>
      <c r="C23" s="7">
        <v>22</v>
      </c>
      <c r="D23" s="4" t="s">
        <v>307</v>
      </c>
      <c r="E23" s="7" t="s">
        <v>49</v>
      </c>
    </row>
    <row r="24" spans="1:6">
      <c r="A24" s="27" t="s">
        <v>306</v>
      </c>
      <c r="C24" s="7">
        <v>23</v>
      </c>
      <c r="D24" s="4" t="s">
        <v>305</v>
      </c>
      <c r="E24" s="7" t="s">
        <v>49</v>
      </c>
      <c r="F24" s="25" t="s">
        <v>500</v>
      </c>
    </row>
    <row r="25" spans="1:6">
      <c r="A25" s="13" t="s">
        <v>282</v>
      </c>
      <c r="C25" s="7">
        <v>24</v>
      </c>
      <c r="D25" s="4" t="s">
        <v>304</v>
      </c>
      <c r="E25" s="7" t="s">
        <v>49</v>
      </c>
      <c r="F25" s="25" t="s">
        <v>486</v>
      </c>
    </row>
    <row r="26" spans="1:6">
      <c r="A26" s="13" t="s">
        <v>281</v>
      </c>
      <c r="C26" s="7">
        <v>25</v>
      </c>
      <c r="D26" s="4" t="s">
        <v>451</v>
      </c>
      <c r="E26" s="7" t="s">
        <v>49</v>
      </c>
      <c r="F26" s="25" t="s">
        <v>486</v>
      </c>
    </row>
    <row r="27" spans="1:6">
      <c r="A27" s="13" t="s">
        <v>280</v>
      </c>
      <c r="C27" s="7">
        <v>26</v>
      </c>
      <c r="D27" s="4" t="s">
        <v>303</v>
      </c>
      <c r="E27" s="7" t="s">
        <v>49</v>
      </c>
      <c r="F27" s="25" t="s">
        <v>500</v>
      </c>
    </row>
    <row r="28" spans="1:6">
      <c r="A28" s="13" t="s">
        <v>279</v>
      </c>
      <c r="C28" s="7">
        <v>27</v>
      </c>
      <c r="D28" s="4" t="s">
        <v>452</v>
      </c>
      <c r="E28" s="7" t="s">
        <v>49</v>
      </c>
    </row>
    <row r="29" spans="1:6">
      <c r="A29" s="13" t="s">
        <v>278</v>
      </c>
      <c r="C29" s="7">
        <v>28</v>
      </c>
      <c r="D29" s="4" t="s">
        <v>465</v>
      </c>
      <c r="E29" s="7" t="s">
        <v>49</v>
      </c>
      <c r="F29" s="25" t="s">
        <v>500</v>
      </c>
    </row>
    <row r="30" spans="1:6">
      <c r="A30" s="27" t="s">
        <v>302</v>
      </c>
      <c r="C30" s="7">
        <v>29</v>
      </c>
      <c r="D30" s="4" t="s">
        <v>453</v>
      </c>
      <c r="E30" s="7" t="s">
        <v>42</v>
      </c>
      <c r="F30" s="25" t="s">
        <v>480</v>
      </c>
    </row>
    <row r="31" spans="1:6">
      <c r="A31" s="13" t="s">
        <v>277</v>
      </c>
      <c r="C31" s="7">
        <v>30</v>
      </c>
      <c r="D31" s="4" t="s">
        <v>454</v>
      </c>
      <c r="E31" s="7" t="s">
        <v>49</v>
      </c>
      <c r="F31" s="25" t="s">
        <v>486</v>
      </c>
    </row>
    <row r="32" spans="1:6">
      <c r="A32" s="13" t="s">
        <v>276</v>
      </c>
      <c r="C32" s="7">
        <v>31</v>
      </c>
      <c r="D32" s="4" t="s">
        <v>455</v>
      </c>
      <c r="E32" s="7" t="s">
        <v>49</v>
      </c>
      <c r="F32" s="25" t="s">
        <v>486</v>
      </c>
    </row>
    <row r="33" spans="1:6">
      <c r="A33" s="13" t="s">
        <v>275</v>
      </c>
      <c r="C33" s="7">
        <v>32</v>
      </c>
      <c r="D33" s="4" t="s">
        <v>456</v>
      </c>
      <c r="E33" s="7" t="s">
        <v>49</v>
      </c>
      <c r="F33" s="25" t="s">
        <v>483</v>
      </c>
    </row>
    <row r="34" spans="1:6">
      <c r="A34" s="13" t="s">
        <v>274</v>
      </c>
      <c r="C34" s="7">
        <v>33</v>
      </c>
      <c r="D34" s="4" t="s">
        <v>457</v>
      </c>
      <c r="E34" s="7" t="s">
        <v>49</v>
      </c>
      <c r="F34" s="25" t="s">
        <v>500</v>
      </c>
    </row>
    <row r="35" spans="1:6" ht="18" customHeight="1">
      <c r="A35" s="27" t="s">
        <v>273</v>
      </c>
      <c r="B35" s="11" t="s">
        <v>551</v>
      </c>
      <c r="C35" s="7">
        <v>34</v>
      </c>
      <c r="D35" s="4" t="s">
        <v>458</v>
      </c>
      <c r="E35" s="7" t="s">
        <v>160</v>
      </c>
      <c r="F35" s="25" t="s">
        <v>301</v>
      </c>
    </row>
    <row r="36" spans="1:6">
      <c r="A36" s="13" t="s">
        <v>272</v>
      </c>
      <c r="C36" s="7">
        <v>35</v>
      </c>
      <c r="D36" s="4" t="s">
        <v>459</v>
      </c>
      <c r="E36" s="7" t="s">
        <v>49</v>
      </c>
      <c r="F36" s="25" t="s">
        <v>499</v>
      </c>
    </row>
    <row r="37" spans="1:6">
      <c r="A37" s="13" t="s">
        <v>271</v>
      </c>
      <c r="B37" s="11" t="s">
        <v>552</v>
      </c>
      <c r="C37" s="7">
        <v>36</v>
      </c>
      <c r="D37" s="4" t="s">
        <v>460</v>
      </c>
      <c r="E37" s="7" t="s">
        <v>160</v>
      </c>
      <c r="F37" s="25" t="s">
        <v>300</v>
      </c>
    </row>
    <row r="38" spans="1:6">
      <c r="A38" s="13" t="s">
        <v>270</v>
      </c>
      <c r="B38" s="11" t="s">
        <v>553</v>
      </c>
      <c r="C38" s="7">
        <v>37</v>
      </c>
      <c r="D38" s="4" t="s">
        <v>461</v>
      </c>
      <c r="E38" s="7" t="s">
        <v>160</v>
      </c>
      <c r="F38" s="25" t="s">
        <v>300</v>
      </c>
    </row>
    <row r="39" spans="1:6">
      <c r="A39" s="13" t="s">
        <v>269</v>
      </c>
      <c r="C39" s="7">
        <v>38</v>
      </c>
      <c r="D39" s="4" t="s">
        <v>299</v>
      </c>
      <c r="E39" s="7" t="s">
        <v>42</v>
      </c>
    </row>
    <row r="40" spans="1:6">
      <c r="A40" s="27"/>
      <c r="B40" s="28"/>
      <c r="C40" s="24">
        <v>39</v>
      </c>
      <c r="D40" s="29" t="s">
        <v>329</v>
      </c>
      <c r="E40" s="24"/>
      <c r="F40" s="24"/>
    </row>
    <row r="41" spans="1:6">
      <c r="A41" s="30" t="s">
        <v>50</v>
      </c>
      <c r="D41" s="8"/>
      <c r="E41" s="7">
        <f>SUBTOTAL(103,[ESTADO])</f>
        <v>38</v>
      </c>
    </row>
  </sheetData>
  <pageMargins left="0.7" right="0.7" top="0.75" bottom="0.75" header="0.3" footer="0.3"/>
  <pageSetup paperSize="9" scale="54" fitToWidth="0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dimension ref="A1:F36"/>
  <sheetViews>
    <sheetView zoomScaleNormal="100" workbookViewId="0">
      <pane ySplit="1" topLeftCell="A2" activePane="bottomLeft" state="frozen"/>
      <selection pane="bottomLeft" activeCell="D14" sqref="D14"/>
    </sheetView>
  </sheetViews>
  <sheetFormatPr baseColWidth="10" defaultRowHeight="15.75"/>
  <cols>
    <col min="1" max="1" width="39.85546875" style="15" customWidth="1"/>
    <col min="2" max="2" width="34" style="6" customWidth="1"/>
    <col min="3" max="3" width="10" style="7" customWidth="1"/>
    <col min="4" max="4" width="30.28515625" style="10" customWidth="1"/>
    <col min="5" max="5" width="19.5703125" style="7" customWidth="1"/>
    <col min="6" max="6" width="37.42578125" style="25" customWidth="1"/>
    <col min="7" max="16384" width="11.42578125" style="11"/>
  </cols>
  <sheetData>
    <row r="1" spans="1:6">
      <c r="A1" s="15" t="s">
        <v>0</v>
      </c>
      <c r="B1" s="6" t="s">
        <v>1</v>
      </c>
      <c r="C1" s="7" t="s">
        <v>2</v>
      </c>
      <c r="D1" s="10" t="s">
        <v>3</v>
      </c>
      <c r="E1" s="7" t="s">
        <v>4</v>
      </c>
      <c r="F1" s="25" t="s">
        <v>5</v>
      </c>
    </row>
    <row r="2" spans="1:6">
      <c r="A2" s="3" t="s">
        <v>352</v>
      </c>
      <c r="C2" s="7">
        <v>1</v>
      </c>
      <c r="D2" s="29" t="s">
        <v>358</v>
      </c>
      <c r="E2" s="7" t="s">
        <v>49</v>
      </c>
      <c r="F2" s="25" t="s">
        <v>483</v>
      </c>
    </row>
    <row r="3" spans="1:6">
      <c r="A3" s="3" t="s">
        <v>330</v>
      </c>
      <c r="C3" s="7">
        <v>2</v>
      </c>
      <c r="D3" s="4" t="s">
        <v>359</v>
      </c>
      <c r="E3" s="7" t="s">
        <v>160</v>
      </c>
      <c r="F3" s="25" t="s">
        <v>301</v>
      </c>
    </row>
    <row r="4" spans="1:6">
      <c r="A4" s="3" t="s">
        <v>393</v>
      </c>
      <c r="B4" s="1"/>
      <c r="C4" s="2">
        <v>3</v>
      </c>
      <c r="D4" s="4" t="s">
        <v>392</v>
      </c>
      <c r="E4" s="2" t="s">
        <v>41</v>
      </c>
      <c r="F4" s="24" t="s">
        <v>86</v>
      </c>
    </row>
    <row r="5" spans="1:6">
      <c r="A5" s="14" t="s">
        <v>368</v>
      </c>
      <c r="C5" s="7">
        <v>4</v>
      </c>
      <c r="D5" s="4" t="s">
        <v>367</v>
      </c>
      <c r="E5" s="7" t="s">
        <v>49</v>
      </c>
      <c r="F5" s="25" t="s">
        <v>500</v>
      </c>
    </row>
    <row r="6" spans="1:6">
      <c r="A6" s="3" t="s">
        <v>395</v>
      </c>
      <c r="B6" s="1" t="s">
        <v>554</v>
      </c>
      <c r="C6" s="2">
        <v>5</v>
      </c>
      <c r="D6" s="4" t="s">
        <v>394</v>
      </c>
      <c r="E6" s="2" t="s">
        <v>42</v>
      </c>
      <c r="F6" s="24" t="s">
        <v>480</v>
      </c>
    </row>
    <row r="7" spans="1:6">
      <c r="A7" s="3" t="s">
        <v>331</v>
      </c>
      <c r="C7" s="7">
        <v>6</v>
      </c>
      <c r="D7" s="4" t="s">
        <v>362</v>
      </c>
      <c r="E7" s="7" t="s">
        <v>49</v>
      </c>
      <c r="F7" s="25" t="s">
        <v>483</v>
      </c>
    </row>
    <row r="8" spans="1:6">
      <c r="A8" s="3" t="s">
        <v>397</v>
      </c>
      <c r="B8" s="1"/>
      <c r="C8" s="2">
        <v>7</v>
      </c>
      <c r="D8" s="4" t="s">
        <v>396</v>
      </c>
      <c r="E8" s="2" t="s">
        <v>41</v>
      </c>
      <c r="F8" s="24" t="s">
        <v>86</v>
      </c>
    </row>
    <row r="9" spans="1:6">
      <c r="A9" s="3" t="s">
        <v>332</v>
      </c>
      <c r="B9" s="6" t="s">
        <v>555</v>
      </c>
      <c r="C9" s="7">
        <v>8</v>
      </c>
      <c r="D9" s="4" t="s">
        <v>360</v>
      </c>
      <c r="E9" s="7" t="s">
        <v>49</v>
      </c>
      <c r="F9" s="25" t="s">
        <v>500</v>
      </c>
    </row>
    <row r="10" spans="1:6">
      <c r="A10" s="3" t="s">
        <v>333</v>
      </c>
      <c r="C10" s="7">
        <v>9</v>
      </c>
      <c r="D10" s="4" t="s">
        <v>361</v>
      </c>
      <c r="E10" s="7" t="s">
        <v>49</v>
      </c>
      <c r="F10" s="25" t="s">
        <v>500</v>
      </c>
    </row>
    <row r="11" spans="1:6">
      <c r="A11" s="3" t="s">
        <v>333</v>
      </c>
      <c r="C11" s="7">
        <v>10</v>
      </c>
      <c r="D11" s="4" t="s">
        <v>363</v>
      </c>
      <c r="E11" s="7" t="s">
        <v>49</v>
      </c>
      <c r="F11" s="25" t="s">
        <v>499</v>
      </c>
    </row>
    <row r="12" spans="1:6">
      <c r="A12" s="3" t="s">
        <v>334</v>
      </c>
      <c r="B12" s="6" t="s">
        <v>556</v>
      </c>
      <c r="C12" s="7">
        <v>11</v>
      </c>
      <c r="D12" s="4" t="s">
        <v>364</v>
      </c>
      <c r="E12" s="7" t="s">
        <v>49</v>
      </c>
      <c r="F12" s="25" t="s">
        <v>500</v>
      </c>
    </row>
    <row r="13" spans="1:6">
      <c r="A13" s="3" t="s">
        <v>335</v>
      </c>
      <c r="B13" s="6" t="s">
        <v>557</v>
      </c>
      <c r="C13" s="7">
        <v>12</v>
      </c>
      <c r="D13" s="4" t="s">
        <v>365</v>
      </c>
      <c r="E13" s="7" t="s">
        <v>49</v>
      </c>
      <c r="F13" s="25" t="s">
        <v>499</v>
      </c>
    </row>
    <row r="14" spans="1:6">
      <c r="A14" s="3" t="s">
        <v>336</v>
      </c>
      <c r="C14" s="7">
        <v>13</v>
      </c>
      <c r="D14" s="4" t="s">
        <v>369</v>
      </c>
      <c r="E14" s="7" t="s">
        <v>160</v>
      </c>
      <c r="F14" s="25" t="s">
        <v>300</v>
      </c>
    </row>
    <row r="15" spans="1:6">
      <c r="A15" s="3" t="s">
        <v>336</v>
      </c>
      <c r="C15" s="7">
        <v>14</v>
      </c>
      <c r="D15" s="4" t="s">
        <v>370</v>
      </c>
      <c r="E15" s="7" t="s">
        <v>160</v>
      </c>
      <c r="F15" s="25" t="s">
        <v>300</v>
      </c>
    </row>
    <row r="16" spans="1:6">
      <c r="A16" s="3" t="s">
        <v>337</v>
      </c>
      <c r="C16" s="7">
        <v>15</v>
      </c>
      <c r="D16" s="31" t="s">
        <v>371</v>
      </c>
      <c r="E16" s="7" t="s">
        <v>160</v>
      </c>
      <c r="F16" s="25" t="s">
        <v>372</v>
      </c>
    </row>
    <row r="17" spans="1:6">
      <c r="A17" s="3" t="s">
        <v>338</v>
      </c>
      <c r="C17" s="7">
        <v>16</v>
      </c>
      <c r="D17" s="4" t="s">
        <v>366</v>
      </c>
      <c r="E17" s="7" t="s">
        <v>49</v>
      </c>
      <c r="F17" s="25" t="s">
        <v>300</v>
      </c>
    </row>
    <row r="18" spans="1:6">
      <c r="A18" s="3" t="s">
        <v>339</v>
      </c>
      <c r="B18" s="6" t="s">
        <v>558</v>
      </c>
      <c r="C18" s="7">
        <v>17</v>
      </c>
      <c r="D18" s="4" t="s">
        <v>373</v>
      </c>
      <c r="E18" s="7" t="s">
        <v>160</v>
      </c>
      <c r="F18" s="25" t="s">
        <v>300</v>
      </c>
    </row>
    <row r="19" spans="1:6">
      <c r="A19" s="3" t="s">
        <v>340</v>
      </c>
      <c r="B19" s="6" t="s">
        <v>559</v>
      </c>
      <c r="C19" s="7">
        <v>18</v>
      </c>
      <c r="D19" s="4" t="s">
        <v>374</v>
      </c>
      <c r="E19" s="7" t="s">
        <v>49</v>
      </c>
      <c r="F19" s="25" t="s">
        <v>483</v>
      </c>
    </row>
    <row r="20" spans="1:6">
      <c r="A20" s="3" t="s">
        <v>341</v>
      </c>
      <c r="C20" s="7">
        <v>19</v>
      </c>
      <c r="D20" s="4" t="s">
        <v>382</v>
      </c>
      <c r="E20" s="7" t="s">
        <v>49</v>
      </c>
      <c r="F20" s="25" t="s">
        <v>500</v>
      </c>
    </row>
    <row r="21" spans="1:6">
      <c r="A21" s="3" t="s">
        <v>342</v>
      </c>
      <c r="C21" s="7">
        <v>20</v>
      </c>
      <c r="D21" s="4" t="s">
        <v>383</v>
      </c>
      <c r="E21" s="7" t="s">
        <v>49</v>
      </c>
      <c r="F21" s="25" t="s">
        <v>500</v>
      </c>
    </row>
    <row r="22" spans="1:6">
      <c r="A22" s="3" t="s">
        <v>343</v>
      </c>
      <c r="B22" s="6" t="s">
        <v>560</v>
      </c>
      <c r="C22" s="7">
        <v>21</v>
      </c>
      <c r="D22" s="4" t="s">
        <v>375</v>
      </c>
      <c r="E22" s="7" t="s">
        <v>49</v>
      </c>
      <c r="F22" s="25" t="s">
        <v>500</v>
      </c>
    </row>
    <row r="23" spans="1:6">
      <c r="A23" s="3" t="s">
        <v>344</v>
      </c>
      <c r="B23" s="6" t="s">
        <v>561</v>
      </c>
      <c r="C23" s="7">
        <v>22</v>
      </c>
      <c r="D23" s="4" t="s">
        <v>376</v>
      </c>
      <c r="E23" s="7" t="s">
        <v>49</v>
      </c>
      <c r="F23" s="25" t="s">
        <v>499</v>
      </c>
    </row>
    <row r="24" spans="1:6">
      <c r="A24" s="3" t="s">
        <v>345</v>
      </c>
      <c r="C24" s="7">
        <v>23</v>
      </c>
      <c r="D24" s="4" t="s">
        <v>377</v>
      </c>
      <c r="E24" s="7" t="s">
        <v>49</v>
      </c>
      <c r="F24" s="25" t="s">
        <v>483</v>
      </c>
    </row>
    <row r="25" spans="1:6" ht="31.5">
      <c r="A25" s="3" t="s">
        <v>346</v>
      </c>
      <c r="C25" s="7">
        <v>24</v>
      </c>
      <c r="D25" s="4" t="s">
        <v>378</v>
      </c>
      <c r="E25" s="7" t="s">
        <v>467</v>
      </c>
      <c r="F25" s="25" t="s">
        <v>384</v>
      </c>
    </row>
    <row r="26" spans="1:6">
      <c r="A26" s="3" t="s">
        <v>352</v>
      </c>
      <c r="C26" s="7">
        <v>25</v>
      </c>
      <c r="D26" s="4" t="s">
        <v>386</v>
      </c>
      <c r="E26" s="7" t="s">
        <v>160</v>
      </c>
      <c r="F26" s="25" t="s">
        <v>300</v>
      </c>
    </row>
    <row r="27" spans="1:6">
      <c r="A27" s="3" t="s">
        <v>347</v>
      </c>
      <c r="C27" s="7">
        <v>26</v>
      </c>
      <c r="D27" s="4" t="s">
        <v>387</v>
      </c>
      <c r="E27" s="7" t="s">
        <v>49</v>
      </c>
      <c r="F27" s="25" t="s">
        <v>500</v>
      </c>
    </row>
    <row r="28" spans="1:6">
      <c r="A28" s="3" t="s">
        <v>348</v>
      </c>
      <c r="C28" s="7">
        <v>27</v>
      </c>
      <c r="D28" s="4" t="s">
        <v>379</v>
      </c>
      <c r="E28" s="7" t="s">
        <v>49</v>
      </c>
      <c r="F28" s="25" t="s">
        <v>499</v>
      </c>
    </row>
    <row r="29" spans="1:6">
      <c r="A29" s="3" t="s">
        <v>349</v>
      </c>
      <c r="B29" s="6" t="s">
        <v>562</v>
      </c>
      <c r="C29" s="7">
        <v>28</v>
      </c>
      <c r="D29" s="4" t="s">
        <v>380</v>
      </c>
      <c r="E29" s="7" t="s">
        <v>49</v>
      </c>
      <c r="F29" s="25" t="s">
        <v>497</v>
      </c>
    </row>
    <row r="30" spans="1:6">
      <c r="A30" s="3" t="s">
        <v>350</v>
      </c>
      <c r="B30" s="6" t="s">
        <v>563</v>
      </c>
      <c r="C30" s="7">
        <v>29</v>
      </c>
      <c r="D30" s="4" t="s">
        <v>381</v>
      </c>
      <c r="E30" s="7" t="s">
        <v>160</v>
      </c>
      <c r="F30" s="25" t="s">
        <v>301</v>
      </c>
    </row>
    <row r="31" spans="1:6">
      <c r="A31" s="3" t="s">
        <v>351</v>
      </c>
      <c r="C31" s="7">
        <v>30</v>
      </c>
      <c r="D31" s="4" t="s">
        <v>385</v>
      </c>
      <c r="E31" s="7" t="s">
        <v>42</v>
      </c>
      <c r="F31" s="25" t="s">
        <v>388</v>
      </c>
    </row>
    <row r="32" spans="1:6">
      <c r="A32" s="3" t="s">
        <v>354</v>
      </c>
      <c r="B32" s="6" t="s">
        <v>564</v>
      </c>
      <c r="C32" s="7">
        <v>33</v>
      </c>
      <c r="D32" s="4" t="s">
        <v>356</v>
      </c>
      <c r="E32" s="7" t="s">
        <v>160</v>
      </c>
      <c r="F32" s="25" t="s">
        <v>300</v>
      </c>
    </row>
    <row r="33" spans="1:6">
      <c r="A33" s="3" t="s">
        <v>399</v>
      </c>
      <c r="B33" s="1"/>
      <c r="C33" s="2">
        <v>34</v>
      </c>
      <c r="D33" s="4" t="s">
        <v>398</v>
      </c>
      <c r="E33" s="2" t="s">
        <v>41</v>
      </c>
      <c r="F33" s="24" t="s">
        <v>86</v>
      </c>
    </row>
    <row r="34" spans="1:6">
      <c r="A34" s="3" t="s">
        <v>355</v>
      </c>
      <c r="C34" s="7">
        <v>35</v>
      </c>
      <c r="D34" s="4" t="s">
        <v>357</v>
      </c>
      <c r="E34" s="7" t="s">
        <v>160</v>
      </c>
      <c r="F34" s="25" t="s">
        <v>300</v>
      </c>
    </row>
    <row r="35" spans="1:6" ht="31.5">
      <c r="A35" s="3" t="s">
        <v>353</v>
      </c>
      <c r="C35" s="7" t="s">
        <v>389</v>
      </c>
      <c r="D35" s="4" t="s">
        <v>391</v>
      </c>
      <c r="E35" s="7" t="s">
        <v>42</v>
      </c>
      <c r="F35" s="25" t="s">
        <v>390</v>
      </c>
    </row>
    <row r="36" spans="1:6">
      <c r="A36" s="5" t="s">
        <v>50</v>
      </c>
      <c r="D36" s="8"/>
      <c r="E36" s="7">
        <f>SUBTOTAL(103,[ESTADO])</f>
        <v>34</v>
      </c>
    </row>
  </sheetData>
  <pageMargins left="0.7" right="0.7" top="0.75" bottom="0.75" header="0.3" footer="0.3"/>
  <pageSetup paperSize="9" scale="56" fitToWidth="0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selection activeCell="D12" sqref="D12"/>
    </sheetView>
  </sheetViews>
  <sheetFormatPr baseColWidth="10" defaultRowHeight="15"/>
  <cols>
    <col min="1" max="1" width="18.42578125" customWidth="1"/>
    <col min="2" max="2" width="13.85546875" customWidth="1"/>
    <col min="3" max="3" width="16.5703125" bestFit="1" customWidth="1"/>
    <col min="4" max="4" width="15.28515625" customWidth="1"/>
    <col min="5" max="5" width="16" customWidth="1"/>
    <col min="6" max="6" width="14.28515625" customWidth="1"/>
    <col min="7" max="7" width="16.7109375" customWidth="1"/>
    <col min="8" max="8" width="13.28515625" customWidth="1"/>
    <col min="9" max="9" width="15.5703125" customWidth="1"/>
    <col min="10" max="10" width="15.7109375" customWidth="1"/>
    <col min="11" max="11" width="16.140625" customWidth="1"/>
    <col min="12" max="12" width="14" customWidth="1"/>
  </cols>
  <sheetData>
    <row r="1" spans="1:12">
      <c r="A1" s="39" t="s">
        <v>468</v>
      </c>
      <c r="B1" s="40" t="s">
        <v>476</v>
      </c>
      <c r="C1" s="45" t="s">
        <v>469</v>
      </c>
      <c r="D1" s="46" t="s">
        <v>476</v>
      </c>
      <c r="E1" s="51" t="s">
        <v>470</v>
      </c>
      <c r="F1" s="52" t="s">
        <v>476</v>
      </c>
      <c r="G1" s="57" t="s">
        <v>472</v>
      </c>
      <c r="H1" s="58" t="s">
        <v>476</v>
      </c>
      <c r="I1" s="69" t="s">
        <v>471</v>
      </c>
      <c r="J1" s="70" t="s">
        <v>476</v>
      </c>
      <c r="K1" s="63" t="s">
        <v>473</v>
      </c>
      <c r="L1" s="64" t="s">
        <v>476</v>
      </c>
    </row>
    <row r="2" spans="1:12">
      <c r="A2" s="41" t="s">
        <v>474</v>
      </c>
      <c r="B2" s="42">
        <v>14</v>
      </c>
      <c r="C2" s="47" t="s">
        <v>474</v>
      </c>
      <c r="D2" s="48">
        <v>18</v>
      </c>
      <c r="E2" s="53" t="s">
        <v>474</v>
      </c>
      <c r="F2" s="54">
        <v>38</v>
      </c>
      <c r="G2" s="59" t="s">
        <v>474</v>
      </c>
      <c r="H2" s="60">
        <v>24</v>
      </c>
      <c r="I2" s="71" t="s">
        <v>474</v>
      </c>
      <c r="J2" s="72">
        <v>24</v>
      </c>
      <c r="K2" s="65" t="s">
        <v>474</v>
      </c>
      <c r="L2" s="66">
        <v>18</v>
      </c>
    </row>
    <row r="3" spans="1:12">
      <c r="A3" s="41" t="s">
        <v>475</v>
      </c>
      <c r="B3" s="42">
        <v>5</v>
      </c>
      <c r="C3" s="47" t="s">
        <v>475</v>
      </c>
      <c r="D3" s="48">
        <v>1</v>
      </c>
      <c r="E3" s="53" t="s">
        <v>475</v>
      </c>
      <c r="F3" s="54">
        <v>8</v>
      </c>
      <c r="G3" s="59" t="s">
        <v>475</v>
      </c>
      <c r="H3" s="60">
        <v>4</v>
      </c>
      <c r="I3" s="71" t="s">
        <v>475</v>
      </c>
      <c r="J3" s="72">
        <v>4</v>
      </c>
      <c r="K3" s="65" t="s">
        <v>475</v>
      </c>
      <c r="L3" s="66">
        <v>4</v>
      </c>
    </row>
    <row r="4" spans="1:12">
      <c r="A4" s="41" t="s">
        <v>160</v>
      </c>
      <c r="B4" s="42">
        <v>0</v>
      </c>
      <c r="C4" s="47" t="s">
        <v>160</v>
      </c>
      <c r="D4" s="48">
        <v>0</v>
      </c>
      <c r="E4" s="53" t="s">
        <v>160</v>
      </c>
      <c r="F4" s="54">
        <v>1</v>
      </c>
      <c r="G4" s="59" t="s">
        <v>160</v>
      </c>
      <c r="H4" s="60">
        <v>1</v>
      </c>
      <c r="I4" s="71" t="s">
        <v>160</v>
      </c>
      <c r="J4" s="72">
        <v>6</v>
      </c>
      <c r="K4" s="65" t="s">
        <v>160</v>
      </c>
      <c r="L4" s="66">
        <v>9</v>
      </c>
    </row>
    <row r="5" spans="1:12">
      <c r="A5" s="41" t="s">
        <v>41</v>
      </c>
      <c r="B5" s="42">
        <v>6</v>
      </c>
      <c r="C5" s="47" t="s">
        <v>41</v>
      </c>
      <c r="D5" s="48">
        <v>3</v>
      </c>
      <c r="E5" s="53" t="s">
        <v>41</v>
      </c>
      <c r="F5" s="54">
        <v>13</v>
      </c>
      <c r="G5" s="59" t="s">
        <v>41</v>
      </c>
      <c r="H5" s="60">
        <v>9</v>
      </c>
      <c r="I5" s="71" t="s">
        <v>41</v>
      </c>
      <c r="J5" s="72">
        <v>4</v>
      </c>
      <c r="K5" s="65" t="s">
        <v>41</v>
      </c>
      <c r="L5" s="66">
        <v>3</v>
      </c>
    </row>
    <row r="6" spans="1:12">
      <c r="A6" s="43" t="s">
        <v>43</v>
      </c>
      <c r="B6" s="44">
        <v>1</v>
      </c>
      <c r="C6" s="49" t="s">
        <v>43</v>
      </c>
      <c r="D6" s="50">
        <v>4</v>
      </c>
      <c r="E6" s="55" t="s">
        <v>43</v>
      </c>
      <c r="F6" s="56">
        <v>0</v>
      </c>
      <c r="G6" s="61" t="s">
        <v>43</v>
      </c>
      <c r="H6" s="62">
        <v>2</v>
      </c>
      <c r="I6" s="73" t="s">
        <v>43</v>
      </c>
      <c r="J6" s="74">
        <v>0</v>
      </c>
      <c r="K6" s="67" t="s">
        <v>43</v>
      </c>
      <c r="L6" s="68">
        <v>0</v>
      </c>
    </row>
    <row r="7" spans="1:12">
      <c r="A7" s="43" t="s">
        <v>50</v>
      </c>
      <c r="B7" s="44">
        <f>SUM(B2:B6)</f>
        <v>26</v>
      </c>
      <c r="C7" s="49"/>
      <c r="D7" s="50">
        <f>SUM(D2:D6)</f>
        <v>26</v>
      </c>
      <c r="E7" s="55"/>
      <c r="F7" s="56">
        <f>SUM(F2:F6)</f>
        <v>60</v>
      </c>
      <c r="G7" s="61"/>
      <c r="H7" s="62">
        <f>SUM(H2:H6)</f>
        <v>40</v>
      </c>
      <c r="I7" s="73"/>
      <c r="J7" s="74">
        <f>SUM(J2:J6)</f>
        <v>38</v>
      </c>
      <c r="K7" s="67"/>
      <c r="L7" s="68">
        <f>SUM(L2:L6)</f>
        <v>34</v>
      </c>
    </row>
    <row r="11" spans="1:12">
      <c r="A11" s="36" t="s">
        <v>4</v>
      </c>
      <c r="B11" s="36" t="s">
        <v>477</v>
      </c>
    </row>
    <row r="12" spans="1:12">
      <c r="A12" s="32" t="s">
        <v>474</v>
      </c>
      <c r="B12" s="33">
        <v>136</v>
      </c>
    </row>
    <row r="13" spans="1:12">
      <c r="A13" s="32" t="s">
        <v>160</v>
      </c>
      <c r="B13" s="33">
        <v>17</v>
      </c>
    </row>
    <row r="14" spans="1:12">
      <c r="A14" s="32" t="s">
        <v>41</v>
      </c>
      <c r="B14" s="33">
        <v>38</v>
      </c>
    </row>
    <row r="15" spans="1:12">
      <c r="A15" s="32" t="s">
        <v>43</v>
      </c>
      <c r="B15" s="33">
        <v>7</v>
      </c>
    </row>
    <row r="16" spans="1:12">
      <c r="A16" s="35" t="s">
        <v>475</v>
      </c>
      <c r="B16" s="34">
        <v>29</v>
      </c>
    </row>
    <row r="17" spans="1:2">
      <c r="A17" s="35" t="s">
        <v>481</v>
      </c>
      <c r="B17" s="34">
        <v>223</v>
      </c>
    </row>
  </sheetData>
  <pageMargins left="0.7" right="0.7" top="0.75" bottom="0.75" header="0.3" footer="0.3"/>
  <pageSetup paperSize="9" scale="47" fitToWidth="0" fitToHeight="0"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Manzana 1</vt:lpstr>
      <vt:lpstr>Manzana 2</vt:lpstr>
      <vt:lpstr>Manzana 3</vt:lpstr>
      <vt:lpstr>Manzana 4</vt:lpstr>
      <vt:lpstr>Manzana 5</vt:lpstr>
      <vt:lpstr>Manzana 6</vt:lpstr>
      <vt:lpstr>GRAFICO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2025-08-14T13:44:11Z</cp:lastPrinted>
  <dcterms:created xsi:type="dcterms:W3CDTF">2025-04-30T13:09:59Z</dcterms:created>
  <dcterms:modified xsi:type="dcterms:W3CDTF">2026-05-08T15:48:17Z</dcterms:modified>
</cp:coreProperties>
</file>